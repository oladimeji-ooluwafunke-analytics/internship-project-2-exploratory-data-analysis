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2 (EDA)\"/>
    </mc:Choice>
  </mc:AlternateContent>
  <xr:revisionPtr revIDLastSave="0" documentId="13_ncr:1_{E72D6EC3-AAF1-4A9F-946B-46895CA1B9F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ivot_Product" sheetId="8" r:id="rId1"/>
    <sheet name="Data Analytics_Cleaned" sheetId="5" r:id="rId2"/>
    <sheet name="Change Log" sheetId="6" r:id="rId3"/>
    <sheet name="EDA SUMMARY" sheetId="7" r:id="rId4"/>
    <sheet name="Sheet1" sheetId="1" r:id="rId5"/>
  </sheets>
  <definedNames>
    <definedName name="_xlchart.v1.0" hidden="1">'Data Analytics_Cleaned'!$A$2:$M$1201</definedName>
    <definedName name="_xlchart.v1.1" hidden="1">'Data Analytics_Cleaned'!$N$1</definedName>
    <definedName name="_xlchart.v1.2" hidden="1">'Data Analytics_Cleaned'!$N$2:$N$1201</definedName>
    <definedName name="ExternalData_1" localSheetId="1" hidden="1">'Data Analytics_Cleaned'!$A$1:$N$1201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7" l="1"/>
  <c r="F4" i="7"/>
  <c r="E4" i="7"/>
  <c r="D4" i="7"/>
  <c r="C4" i="7"/>
  <c r="E5" i="7"/>
  <c r="D5" i="7"/>
  <c r="C5" i="7"/>
  <c r="B5" i="7"/>
  <c r="B4" i="7"/>
  <c r="F3" i="7"/>
  <c r="E3" i="7"/>
  <c r="D3" i="7"/>
  <c r="C3" i="7"/>
  <c r="B3" i="7"/>
  <c r="F2" i="7"/>
  <c r="E2" i="7"/>
  <c r="D2" i="7"/>
  <c r="C2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1093B3-4B9E-4907-84FD-731182F6A682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DA4D59AF-901F-46BA-BC6E-CC7554CCB669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<sst xmlns="http://schemas.openxmlformats.org/spreadsheetml/2006/main" count="21423" uniqueCount="4353">
  <si>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</si>
  <si>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</si>
  <si>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</si>
  <si>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</si>
  <si>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</si>
  <si>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</si>
  <si>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</si>
  <si>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</si>
  <si>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</si>
  <si>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</si>
  <si>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</si>
  <si>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</si>
  <si>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</si>
  <si>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</si>
  <si>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</si>
  <si>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</si>
  <si>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</si>
  <si>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</si>
  <si>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</si>
  <si>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</si>
  <si>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</si>
  <si>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</si>
  <si>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</si>
  <si>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</si>
  <si>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</si>
  <si>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</si>
  <si>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</si>
  <si>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</si>
  <si>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</si>
  <si>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</si>
  <si>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</si>
  <si>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</si>
  <si>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</si>
  <si>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</si>
  <si>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</si>
  <si>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</si>
  <si>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</si>
  <si>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</si>
  <si>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</si>
  <si>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</si>
  <si>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</si>
  <si>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</si>
  <si>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</si>
  <si>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</si>
  <si>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</si>
  <si>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</si>
  <si>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</si>
  <si>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</si>
  <si>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</si>
  <si>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</si>
  <si>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</si>
  <si>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</si>
  <si>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</si>
  <si>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</si>
  <si>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</si>
  <si>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</si>
  <si>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</si>
  <si>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</si>
  <si>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</si>
  <si>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</si>
  <si>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</si>
  <si>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</si>
  <si>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</si>
  <si>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</si>
  <si>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</si>
  <si>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</si>
  <si>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</si>
  <si>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</si>
  <si>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</si>
  <si>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</si>
  <si>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</si>
  <si>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</si>
  <si>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</si>
  <si>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</si>
  <si>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</si>
  <si>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</si>
  <si>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</si>
  <si>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</si>
  <si>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</si>
  <si>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</si>
  <si>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</si>
  <si>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</si>
  <si>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</si>
  <si>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</si>
  <si>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</si>
  <si>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</si>
  <si>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</si>
  <si>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</si>
  <si>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</si>
  <si>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</si>
  <si>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</si>
  <si>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</si>
  <si>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</si>
  <si>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</si>
  <si>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</si>
  <si>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</si>
  <si>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</si>
  <si>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</si>
  <si>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</si>
  <si>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</si>
  <si>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</si>
  <si>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</si>
  <si>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</si>
  <si>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</si>
  <si>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</si>
  <si>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</si>
  <si>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</si>
  <si>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</si>
  <si>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</si>
  <si>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</si>
  <si>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</si>
  <si>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</si>
  <si>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</si>
  <si>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</si>
  <si>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</si>
  <si>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</si>
  <si>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</si>
  <si>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</si>
  <si>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</si>
  <si>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</si>
  <si>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</si>
  <si>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</si>
  <si>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</si>
  <si>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</si>
  <si>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</si>
  <si>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</si>
  <si>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</si>
  <si>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</si>
  <si>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</si>
  <si>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</si>
  <si>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</si>
  <si>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</si>
  <si>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</si>
  <si>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</si>
  <si>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</si>
  <si>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</si>
  <si>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</si>
  <si>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</si>
  <si>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</si>
  <si>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</si>
  <si>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</si>
  <si>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</si>
  <si>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</si>
  <si>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</si>
  <si>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</si>
  <si>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</si>
  <si>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</si>
  <si>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</si>
  <si>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</si>
  <si>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</si>
  <si>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</si>
  <si>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</si>
  <si>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</si>
  <si>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</si>
  <si>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</si>
  <si>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</si>
  <si>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</si>
  <si>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</si>
  <si>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</si>
  <si>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</si>
  <si>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</si>
  <si>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</si>
  <si>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</si>
  <si>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</si>
  <si>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</si>
  <si>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</si>
  <si>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</si>
  <si>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</si>
  <si>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</si>
  <si>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</si>
  <si>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</si>
  <si>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</si>
  <si>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</si>
  <si>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</si>
  <si>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</si>
  <si>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</si>
  <si>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</si>
  <si>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</si>
  <si>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</si>
  <si>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</si>
  <si>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</si>
  <si>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</si>
  <si>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</si>
  <si>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</si>
  <si>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</si>
  <si>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</si>
  <si>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</si>
  <si>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</si>
  <si>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</si>
  <si>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</si>
  <si>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</si>
  <si>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</si>
  <si>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</si>
  <si>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</si>
  <si>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</si>
  <si>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</si>
  <si>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</si>
  <si>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</si>
  <si>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</si>
  <si>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</si>
  <si>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</si>
  <si>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</si>
  <si>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</si>
  <si>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</si>
  <si>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</si>
  <si>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</si>
  <si>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</si>
  <si>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</si>
  <si>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</si>
  <si>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</si>
  <si>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</si>
  <si>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</si>
  <si>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</si>
  <si>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</si>
  <si>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</si>
  <si>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</si>
  <si>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</si>
  <si>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</si>
  <si>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</si>
  <si>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</si>
  <si>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</si>
  <si>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</si>
  <si>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</si>
  <si>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</si>
  <si>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</si>
  <si>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</si>
  <si>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</si>
  <si>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</si>
  <si>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</si>
  <si>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</si>
  <si>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</si>
  <si>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</si>
  <si>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</si>
  <si>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</si>
  <si>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</si>
  <si>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</si>
  <si>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</si>
  <si>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</si>
  <si>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</si>
  <si>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</si>
  <si>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</si>
  <si>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</si>
  <si>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</si>
  <si>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</si>
  <si>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</si>
  <si>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</si>
  <si>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</si>
  <si>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</si>
  <si>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</si>
  <si>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</si>
  <si>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</si>
  <si>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</si>
  <si>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</si>
  <si>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</si>
  <si>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</si>
  <si>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</si>
  <si>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</si>
  <si>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</si>
  <si>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</si>
  <si>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</si>
  <si>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</si>
  <si>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</si>
  <si>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</si>
  <si>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</si>
  <si>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</si>
  <si>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</si>
  <si>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</si>
  <si>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</si>
  <si>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</si>
  <si>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</si>
  <si>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</si>
  <si>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</si>
  <si>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</si>
  <si>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</si>
  <si>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</si>
  <si>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</si>
  <si>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</si>
  <si>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</si>
  <si>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</si>
  <si>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</si>
  <si>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</si>
  <si>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</si>
  <si>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</si>
  <si>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</si>
  <si>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</si>
  <si>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</si>
  <si>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</si>
  <si>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</si>
  <si>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</si>
  <si>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</si>
  <si>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</si>
  <si>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</si>
  <si>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</si>
  <si>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</si>
  <si>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</si>
  <si>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</si>
  <si>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</si>
  <si>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</si>
  <si>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</si>
  <si>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</si>
  <si>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</si>
  <si>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</si>
  <si>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</si>
  <si>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</si>
  <si>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</si>
  <si>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</si>
  <si>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</si>
  <si>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</si>
  <si>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</si>
  <si>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</si>
  <si>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</si>
  <si>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</si>
  <si>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</si>
  <si>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</si>
  <si>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</si>
  <si>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</si>
  <si>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</si>
  <si>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</si>
  <si>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</si>
  <si>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</si>
  <si>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</si>
  <si>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</si>
  <si>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</si>
  <si>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</si>
  <si>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</si>
  <si>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</si>
  <si>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</si>
  <si>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</si>
  <si>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</si>
  <si>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</si>
  <si>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</si>
  <si>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</si>
  <si>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</si>
  <si>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</si>
  <si>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</si>
  <si>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</si>
  <si>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</si>
  <si>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</si>
  <si>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</si>
  <si>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</si>
  <si>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</si>
  <si>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</si>
  <si>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</si>
  <si>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</si>
  <si>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</si>
  <si>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</si>
  <si>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</si>
  <si>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</si>
  <si>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</si>
  <si>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</si>
  <si>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</si>
  <si>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</si>
  <si>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</si>
  <si>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</si>
  <si>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</si>
  <si>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</si>
  <si>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</si>
  <si>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</si>
  <si>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</si>
  <si>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</si>
  <si>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</si>
  <si>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</si>
  <si>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</si>
  <si>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</si>
  <si>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</si>
  <si>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</si>
  <si>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</si>
  <si>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</si>
  <si>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</si>
  <si>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</si>
  <si>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</si>
  <si>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</si>
  <si>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</si>
  <si>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</si>
  <si>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</si>
  <si>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</si>
  <si>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</si>
  <si>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</si>
  <si>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</si>
  <si>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</si>
  <si>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</si>
  <si>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</si>
  <si>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</si>
  <si>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</si>
  <si>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</si>
  <si>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</si>
  <si>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</si>
  <si>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</si>
  <si>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</si>
  <si>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</si>
  <si>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</si>
  <si>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</si>
  <si>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</si>
  <si>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</si>
  <si>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</si>
  <si>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</si>
  <si>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</si>
  <si>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</si>
  <si>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</si>
  <si>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</si>
  <si>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</si>
  <si>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</si>
  <si>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</si>
  <si>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</si>
  <si>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</si>
  <si>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</si>
  <si>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</si>
  <si>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</si>
  <si>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</si>
  <si>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</si>
  <si>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</si>
  <si>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</si>
  <si>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</si>
  <si>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</si>
  <si>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</si>
  <si>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</si>
  <si>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</si>
  <si>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</si>
  <si>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</si>
  <si>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</si>
  <si>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</si>
  <si>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</si>
  <si>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</si>
  <si>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</si>
  <si>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</si>
  <si>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</si>
  <si>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</si>
  <si>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</si>
  <si>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</si>
  <si>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</si>
  <si>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</si>
  <si>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</si>
  <si>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</si>
  <si>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</si>
  <si>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</si>
  <si>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</si>
  <si>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</si>
  <si>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</si>
  <si>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</si>
  <si>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</si>
  <si>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</si>
  <si>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</si>
  <si>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</si>
  <si>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</si>
  <si>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</si>
  <si>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</si>
  <si>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</si>
  <si>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</si>
  <si>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</si>
  <si>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</si>
  <si>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</si>
  <si>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</si>
  <si>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</si>
  <si>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</si>
  <si>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</si>
  <si>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</si>
  <si>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</si>
  <si>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</si>
  <si>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</si>
  <si>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</si>
  <si>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</si>
  <si>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</si>
  <si>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</si>
  <si>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</si>
  <si>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</si>
  <si>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</si>
  <si>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</si>
  <si>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</si>
  <si>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</si>
  <si>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</si>
  <si>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</si>
  <si>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</si>
  <si>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</si>
  <si>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</si>
  <si>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</si>
  <si>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</si>
  <si>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</si>
  <si>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</si>
  <si>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</si>
  <si>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</si>
  <si>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</si>
  <si>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</si>
  <si>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</si>
  <si>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</si>
  <si>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</si>
  <si>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</si>
  <si>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</si>
  <si>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</si>
  <si>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</si>
  <si>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</si>
  <si>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</si>
  <si>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</si>
  <si>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</si>
  <si>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</si>
  <si>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</si>
  <si>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</si>
  <si>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</si>
  <si>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</si>
  <si>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</si>
  <si>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</si>
  <si>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</si>
  <si>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</si>
  <si>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</si>
  <si>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</si>
  <si>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</si>
  <si>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</si>
  <si>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</si>
  <si>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</si>
  <si>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</si>
  <si>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</si>
  <si>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</si>
  <si>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</si>
  <si>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</si>
  <si>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</si>
  <si>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</si>
  <si>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</si>
  <si>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</si>
  <si>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</si>
  <si>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</si>
  <si>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</si>
  <si>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</si>
  <si>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</si>
  <si>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</si>
  <si>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</si>
  <si>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</si>
  <si>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</si>
  <si>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</si>
  <si>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</si>
  <si>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</si>
  <si>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</si>
  <si>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</si>
  <si>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</si>
  <si>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</si>
  <si>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</si>
  <si>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</si>
  <si>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</si>
  <si>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</si>
  <si>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</si>
  <si>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</si>
  <si>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</si>
  <si>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</si>
  <si>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</si>
  <si>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</si>
  <si>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</si>
  <si>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</si>
  <si>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</si>
  <si>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</si>
  <si>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</si>
  <si>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</si>
  <si>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</si>
  <si>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</si>
  <si>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</si>
  <si>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</si>
  <si>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</si>
  <si>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</si>
  <si>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</si>
  <si>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</si>
  <si>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</si>
  <si>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</si>
  <si>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</si>
  <si>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</si>
  <si>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</si>
  <si>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</si>
  <si>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</si>
  <si>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</si>
  <si>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</si>
  <si>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</si>
  <si>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</si>
  <si>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</si>
  <si>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</si>
  <si>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</si>
  <si>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</si>
  <si>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</si>
  <si>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</si>
  <si>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</si>
  <si>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</si>
  <si>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</si>
  <si>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</si>
  <si>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</si>
  <si>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</si>
  <si>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</si>
  <si>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</si>
  <si>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</si>
  <si>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</si>
  <si>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</si>
  <si>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</si>
  <si>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</si>
  <si>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</si>
  <si>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</si>
  <si>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</si>
  <si>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</si>
  <si>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</si>
  <si>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</si>
  <si>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</si>
  <si>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</si>
  <si>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</si>
  <si>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</si>
  <si>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</si>
  <si>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</si>
  <si>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</si>
  <si>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</si>
  <si>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</si>
  <si>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</si>
  <si>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</si>
  <si>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</si>
  <si>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</si>
  <si>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</si>
  <si>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</si>
  <si>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</si>
  <si>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</si>
  <si>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</si>
  <si>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</si>
  <si>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</si>
  <si>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</si>
  <si>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</si>
  <si>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</si>
  <si>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</si>
  <si>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</si>
  <si>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</si>
  <si>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</si>
  <si>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</si>
  <si>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</si>
  <si>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</si>
  <si>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</si>
  <si>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</si>
  <si>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</si>
  <si>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</si>
  <si>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</si>
  <si>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</si>
  <si>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</si>
  <si>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</si>
  <si>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</si>
  <si>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</si>
  <si>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</si>
  <si>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</si>
  <si>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</si>
  <si>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</si>
  <si>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</si>
  <si>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</si>
  <si>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</si>
  <si>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</si>
  <si>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</si>
  <si>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</si>
  <si>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</si>
  <si>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</si>
  <si>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</si>
  <si>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</si>
  <si>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</si>
  <si>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</si>
  <si>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</si>
  <si>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</si>
  <si>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</si>
  <si>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</si>
  <si>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</si>
  <si>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</si>
  <si>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</si>
  <si>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</si>
  <si>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</si>
  <si>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</si>
  <si>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</si>
  <si>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</si>
  <si>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</si>
  <si>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</si>
  <si>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</si>
  <si>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</si>
  <si>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</si>
  <si>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</si>
  <si>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</si>
  <si>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</si>
  <si>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</si>
  <si>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</si>
  <si>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</si>
  <si>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</si>
  <si>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</si>
  <si>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</si>
  <si>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</si>
  <si>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</si>
  <si>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</si>
  <si>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</si>
  <si>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</si>
  <si>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</si>
  <si>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</si>
  <si>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</si>
  <si>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</si>
  <si>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</si>
  <si>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</si>
  <si>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</si>
  <si>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</si>
  <si>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</si>
  <si>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</si>
  <si>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</si>
  <si>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</si>
  <si>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</si>
  <si>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</si>
  <si>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</si>
  <si>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</si>
  <si>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</si>
  <si>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</si>
  <si>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</si>
  <si>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</si>
  <si>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</si>
  <si>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</si>
  <si>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</si>
  <si>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</si>
  <si>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</si>
  <si>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</si>
  <si>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</si>
  <si>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</si>
  <si>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</si>
  <si>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</si>
  <si>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</si>
  <si>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</si>
  <si>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</si>
  <si>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</si>
  <si>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</si>
  <si>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</si>
  <si>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</si>
  <si>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</si>
  <si>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</si>
  <si>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</si>
  <si>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</si>
  <si>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</si>
  <si>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</si>
  <si>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</si>
  <si>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</si>
  <si>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</si>
  <si>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</si>
  <si>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</si>
  <si>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</si>
  <si>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</si>
  <si>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</si>
  <si>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</si>
  <si>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</si>
  <si>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</si>
  <si>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</si>
  <si>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</si>
  <si>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</si>
  <si>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</si>
  <si>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</si>
  <si>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</si>
  <si>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</si>
  <si>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</si>
  <si>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</si>
  <si>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</si>
  <si>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</si>
  <si>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</si>
  <si>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</si>
  <si>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</si>
  <si>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</si>
  <si>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</si>
  <si>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</si>
  <si>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</si>
  <si>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</si>
  <si>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</si>
  <si>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</si>
  <si>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</si>
  <si>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</si>
  <si>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</si>
  <si>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</si>
  <si>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</si>
  <si>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</si>
  <si>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</si>
  <si>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</si>
  <si>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</si>
  <si>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</si>
  <si>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</si>
  <si>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</si>
  <si>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</si>
  <si>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</si>
  <si>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</si>
  <si>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</si>
  <si>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</si>
  <si>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</si>
  <si>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</si>
  <si>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</si>
  <si>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</si>
  <si>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</si>
  <si>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</si>
  <si>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</si>
  <si>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</si>
  <si>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</si>
  <si>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</si>
  <si>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</si>
  <si>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</si>
  <si>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</si>
  <si>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</si>
  <si>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</si>
  <si>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</si>
  <si>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</si>
  <si>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</si>
  <si>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</si>
  <si>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</si>
  <si>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</si>
  <si>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</si>
  <si>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</si>
  <si>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</si>
  <si>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</si>
  <si>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</si>
  <si>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</si>
  <si>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</si>
  <si>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</si>
  <si>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</si>
  <si>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</si>
  <si>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</si>
  <si>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</si>
  <si>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</si>
  <si>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</si>
  <si>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</si>
  <si>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</si>
  <si>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</si>
  <si>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</si>
  <si>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</si>
  <si>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</si>
  <si>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</si>
  <si>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</si>
  <si>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</si>
  <si>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</si>
  <si>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</si>
  <si>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</si>
  <si>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</si>
  <si>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</si>
  <si>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</si>
  <si>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</si>
  <si>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</si>
  <si>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</si>
  <si>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</si>
  <si>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</si>
  <si>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</si>
  <si>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</si>
  <si>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</si>
  <si>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</si>
  <si>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</si>
  <si>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</si>
  <si>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</si>
  <si>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</si>
  <si>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</si>
  <si>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</si>
  <si>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</si>
  <si>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</si>
  <si>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</si>
  <si>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</si>
  <si>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</si>
  <si>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</si>
  <si>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</si>
  <si>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</si>
  <si>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</si>
  <si>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</si>
  <si>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</si>
  <si>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</si>
  <si>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</si>
  <si>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</si>
  <si>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</si>
  <si>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</si>
  <si>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</si>
  <si>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</si>
  <si>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</si>
  <si>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</si>
  <si>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</si>
  <si>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</si>
  <si>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</si>
  <si>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</si>
  <si>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</si>
  <si>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</si>
  <si>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</si>
  <si>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</si>
  <si>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</si>
  <si>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</si>
  <si>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</si>
  <si>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</si>
  <si>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</si>
  <si>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</si>
  <si>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</si>
  <si>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</si>
  <si>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</si>
  <si>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</si>
  <si>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</si>
  <si>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</si>
  <si>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</si>
  <si>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</si>
  <si>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</si>
  <si>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</si>
  <si>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</si>
  <si>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</si>
  <si>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</si>
  <si>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</si>
  <si>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</si>
  <si>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</si>
  <si>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</si>
  <si>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</si>
  <si>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</si>
  <si>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</si>
  <si>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</si>
  <si>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</si>
  <si>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</si>
  <si>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</si>
  <si>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</si>
  <si>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</si>
  <si>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</si>
  <si>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</si>
  <si>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</si>
  <si>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</si>
  <si>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</si>
  <si>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</si>
  <si>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</si>
  <si>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</si>
  <si>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</si>
  <si>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</si>
  <si>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</si>
  <si>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</si>
  <si>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</si>
  <si>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</si>
  <si>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</si>
  <si>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</si>
  <si>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</si>
  <si>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</si>
  <si>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</si>
  <si>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</si>
  <si>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</si>
  <si>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</si>
  <si>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</si>
  <si>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</si>
  <si>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</si>
  <si>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</si>
  <si>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</si>
  <si>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</si>
  <si>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</si>
  <si>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</si>
  <si>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</si>
  <si>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</si>
  <si>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</si>
  <si>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</si>
  <si>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</si>
  <si>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</si>
  <si>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</si>
  <si>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</si>
  <si>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</si>
  <si>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</si>
  <si>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</si>
  <si>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</si>
  <si>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</si>
  <si>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</si>
  <si>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</si>
  <si>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</si>
  <si>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</si>
  <si>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</si>
  <si>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</si>
  <si>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</si>
  <si>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</si>
  <si>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</si>
  <si>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</si>
  <si>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</si>
  <si>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</si>
  <si>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</si>
  <si>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</si>
  <si>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</si>
  <si>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</si>
  <si>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</si>
  <si>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</si>
  <si>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</si>
  <si>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</si>
  <si>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</si>
  <si>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</si>
  <si>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</si>
  <si>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</si>
  <si>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</si>
  <si>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</si>
  <si>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</si>
  <si>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</si>
  <si>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</si>
  <si>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</si>
  <si>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</si>
  <si>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</si>
  <si>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</si>
  <si>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</si>
  <si>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</si>
  <si>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</si>
  <si>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</si>
  <si>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</si>
  <si>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</si>
  <si>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</si>
  <si>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</si>
  <si>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</si>
  <si>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</si>
  <si>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</si>
  <si>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</si>
  <si>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</si>
  <si>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</si>
  <si>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</si>
  <si>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</si>
  <si>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</si>
  <si>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</si>
  <si>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</si>
  <si>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</si>
  <si>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</si>
  <si>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</si>
  <si>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</si>
  <si>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</si>
  <si>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</si>
  <si>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</si>
  <si>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</si>
  <si>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</si>
  <si>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</si>
  <si>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</si>
  <si>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</si>
  <si>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</si>
  <si>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</si>
  <si>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</si>
  <si>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</si>
  <si>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</si>
  <si>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</si>
  <si>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</si>
  <si>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</si>
  <si>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</si>
  <si>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</si>
  <si>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</si>
  <si>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</si>
  <si>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</si>
  <si>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</si>
  <si>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</si>
  <si>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</si>
  <si>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</si>
  <si>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</si>
  <si>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</si>
  <si>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</si>
  <si>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</si>
  <si>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</si>
  <si>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</si>
  <si>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</si>
  <si>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</si>
  <si>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</si>
  <si>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</si>
  <si>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</si>
  <si>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</si>
  <si>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</si>
  <si>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</si>
  <si>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</si>
  <si>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</si>
  <si>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</si>
  <si>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</si>
  <si>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</si>
  <si>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</si>
  <si>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</si>
  <si>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</si>
  <si>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</si>
  <si>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</si>
  <si>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</si>
  <si>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</si>
  <si>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</si>
  <si>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</si>
  <si>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</si>
  <si>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</si>
  <si>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</si>
  <si>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</si>
  <si>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</si>
  <si>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</si>
  <si>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</si>
  <si>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</si>
  <si>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</si>
  <si>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</si>
  <si>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</si>
  <si>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</si>
  <si>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</si>
  <si>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</si>
  <si>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</si>
  <si>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</si>
  <si>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</si>
  <si>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</si>
  <si>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</si>
  <si>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</si>
  <si>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</si>
  <si>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</si>
  <si>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</si>
  <si>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</si>
  <si>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</si>
  <si>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</si>
  <si>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</si>
  <si>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</si>
  <si>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</si>
  <si>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</si>
  <si>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</si>
  <si>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</si>
  <si>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</si>
  <si>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</si>
  <si>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</si>
  <si>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</si>
  <si>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</si>
  <si>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</si>
  <si>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</si>
  <si>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</si>
  <si>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</si>
  <si>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</si>
  <si>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</si>
  <si>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</si>
  <si>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</si>
  <si>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</si>
  <si>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</si>
  <si>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</si>
  <si>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</si>
  <si>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</si>
  <si>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</si>
  <si>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</si>
  <si>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</si>
  <si>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</si>
  <si>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</si>
  <si>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</si>
  <si>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</si>
  <si>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</si>
  <si>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</si>
  <si>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</si>
  <si>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</si>
  <si>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</si>
  <si>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</si>
  <si>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</si>
  <si>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</si>
  <si>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</si>
  <si>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</si>
  <si>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</si>
  <si>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</si>
  <si>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</si>
  <si>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</si>
  <si>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</si>
  <si>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</si>
  <si>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</si>
  <si>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</si>
  <si>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</si>
  <si>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</si>
  <si>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</si>
  <si>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</si>
  <si>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</si>
  <si>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</si>
  <si>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</si>
  <si>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</si>
  <si>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</si>
  <si>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</si>
  <si>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</si>
  <si>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</si>
  <si>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</si>
  <si>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</si>
  <si>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</si>
  <si>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</si>
  <si>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</si>
  <si>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</si>
  <si>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</si>
  <si>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</si>
  <si>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</si>
  <si>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</si>
  <si>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</si>
  <si>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</si>
  <si>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</si>
  <si>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</si>
  <si>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</si>
  <si>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</si>
  <si>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</si>
  <si>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</si>
  <si>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</si>
  <si>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</si>
  <si>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</si>
  <si>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</si>
  <si>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</si>
  <si>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</si>
  <si>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</si>
  <si>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</si>
  <si>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</si>
  <si>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</si>
  <si>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</si>
  <si>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</si>
  <si>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</si>
  <si>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</si>
  <si>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</si>
  <si>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</si>
  <si>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</si>
  <si>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</si>
  <si>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</si>
  <si>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</si>
  <si>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</si>
  <si>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</si>
  <si>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</si>
  <si>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</si>
  <si>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</si>
  <si>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</si>
  <si>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</si>
  <si>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</si>
  <si>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</si>
  <si>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</si>
  <si>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</si>
  <si>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</si>
  <si>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</si>
  <si>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</si>
  <si>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</si>
  <si>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</si>
  <si>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</si>
  <si>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</si>
  <si>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</si>
  <si>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</si>
  <si>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</si>
  <si>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</si>
  <si>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</si>
  <si>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</si>
  <si>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</si>
  <si>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</si>
  <si>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</si>
  <si>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</si>
  <si>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</si>
  <si>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</si>
  <si>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</si>
  <si>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</si>
  <si>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</si>
  <si>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</si>
  <si>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</si>
  <si>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</si>
  <si>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</si>
  <si>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</si>
  <si>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</si>
  <si>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</si>
  <si>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</si>
  <si>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</si>
  <si>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</si>
  <si>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</si>
  <si>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</si>
  <si>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</si>
  <si>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</si>
  <si>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</si>
  <si>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</si>
  <si>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</si>
  <si>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</si>
  <si>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</si>
  <si>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</si>
  <si>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</si>
  <si>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</si>
  <si>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</si>
  <si>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</si>
  <si>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</si>
  <si>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</si>
  <si>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</si>
  <si>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</si>
  <si>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</si>
  <si>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</si>
  <si>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</si>
  <si>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</si>
  <si>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</si>
  <si>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</si>
  <si>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</si>
  <si>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</si>
  <si>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</si>
  <si>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</si>
  <si>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</si>
  <si>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</si>
  <si>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</si>
  <si>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</si>
  <si>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</si>
  <si>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</si>
  <si>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</si>
  <si>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</si>
  <si>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</si>
  <si>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</si>
  <si>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</si>
  <si>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</si>
  <si>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</si>
  <si>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</si>
  <si>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</si>
  <si>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</si>
  <si>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</si>
  <si>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</si>
  <si>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</si>
  <si>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</si>
  <si>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</si>
  <si>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</si>
  <si>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</si>
  <si>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</si>
  <si>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</si>
  <si>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</si>
  <si>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</si>
  <si>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</si>
  <si>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</si>
  <si>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</si>
  <si>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</si>
  <si>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</si>
  <si>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</si>
  <si>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</si>
  <si>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</si>
  <si>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</si>
  <si>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</si>
  <si>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</si>
  <si>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</si>
  <si>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</si>
  <si>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</si>
  <si>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</si>
  <si>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</si>
  <si>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</si>
  <si>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</si>
  <si>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</si>
  <si>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</si>
  <si>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</si>
  <si>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</si>
  <si>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</si>
  <si>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</si>
  <si>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</si>
  <si>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</si>
  <si>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</si>
  <si>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</si>
  <si>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</si>
  <si>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</si>
  <si>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</si>
  <si>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</si>
  <si>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</si>
  <si>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</si>
  <si>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</si>
  <si>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</si>
  <si>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</si>
  <si>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</si>
  <si>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</si>
  <si>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</si>
  <si>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</si>
  <si>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</si>
  <si>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</si>
  <si>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</si>
  <si>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</si>
  <si>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</si>
  <si>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</si>
  <si>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</si>
  <si>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</si>
  <si>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</si>
  <si>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</si>
  <si>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</si>
  <si>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</si>
  <si>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</si>
  <si>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</si>
  <si>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</si>
  <si>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</si>
  <si>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</si>
  <si>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</si>
  <si>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</si>
  <si>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</si>
  <si>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</si>
  <si>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</si>
  <si>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</si>
  <si>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</si>
  <si>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</si>
  <si>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</si>
  <si>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</si>
  <si>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</si>
  <si>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</si>
  <si>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</si>
  <si>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</si>
  <si>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</si>
  <si>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</si>
  <si>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</si>
  <si>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</si>
  <si>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</si>
  <si>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</si>
  <si>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</si>
  <si>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</si>
  <si>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</si>
  <si>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</si>
  <si>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</si>
  <si>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</si>
  <si>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</si>
  <si>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</si>
  <si>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</si>
  <si>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</si>
  <si>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</si>
  <si>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</si>
  <si>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</si>
  <si>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</si>
  <si>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</si>
  <si>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</si>
  <si>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</si>
  <si>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</si>
  <si>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</si>
  <si>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</si>
  <si>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</si>
  <si>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</si>
  <si>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</si>
  <si>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</si>
  <si>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</si>
  <si>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</si>
  <si>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</si>
  <si>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</si>
  <si>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</si>
  <si>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</si>
  <si>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</si>
  <si>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</si>
  <si>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</si>
  <si>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</si>
  <si>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</si>
  <si>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</si>
  <si>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</si>
  <si>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</si>
  <si>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</si>
  <si>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</si>
  <si>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</si>
  <si>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</si>
  <si>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</si>
  <si>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</si>
  <si>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</si>
  <si>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</si>
  <si>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</si>
  <si>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</si>
  <si>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</si>
  <si>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</si>
  <si>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</si>
  <si>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</si>
  <si>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</si>
  <si>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</si>
  <si>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</si>
  <si>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</si>
  <si>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</si>
  <si>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</si>
  <si>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</si>
  <si>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</si>
  <si>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</si>
  <si>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</si>
  <si>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</si>
  <si>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</si>
  <si>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</si>
  <si>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</si>
  <si>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</si>
  <si>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</si>
  <si>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</si>
  <si>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</si>
  <si>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</si>
  <si>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</si>
  <si>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</si>
  <si>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</si>
  <si>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</si>
  <si>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</si>
  <si>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</si>
  <si>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</si>
  <si>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</si>
  <si>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</si>
  <si>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</si>
  <si>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</si>
  <si>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</si>
  <si>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</si>
  <si>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</si>
  <si>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</si>
  <si>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</si>
  <si>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</si>
  <si>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</si>
  <si>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</si>
  <si>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</si>
  <si>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</si>
  <si>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</si>
  <si>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</si>
  <si>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</si>
  <si>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</si>
  <si>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</si>
  <si>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</si>
  <si>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</si>
  <si>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</si>
  <si>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</si>
  <si>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</si>
  <si>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</si>
  <si>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</si>
  <si>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</si>
  <si>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</si>
  <si>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</si>
  <si>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</si>
  <si>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</si>
  <si>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</si>
  <si>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</si>
  <si>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</si>
  <si>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</si>
  <si>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</si>
  <si>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</si>
  <si>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</si>
  <si>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</si>
  <si>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</si>
  <si>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</si>
  <si>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</si>
  <si>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</si>
  <si>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</si>
  <si>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</si>
  <si>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</si>
  <si>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</si>
  <si>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</si>
  <si>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</si>
  <si>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</si>
  <si>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</si>
  <si>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</si>
  <si>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</si>
  <si>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</si>
  <si>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</si>
  <si>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</si>
  <si>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</si>
  <si>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</si>
  <si>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</si>
  <si>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</si>
  <si>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</si>
  <si>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</si>
  <si>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</si>
  <si>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</si>
  <si>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</si>
  <si>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</si>
  <si>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</si>
  <si>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</si>
  <si>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</si>
  <si>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</si>
  <si>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</si>
  <si>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</si>
  <si>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</si>
  <si>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</si>
  <si>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</si>
  <si>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</si>
  <si>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</si>
  <si>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</si>
  <si>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</si>
  <si>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</si>
  <si>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</si>
  <si>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</si>
  <si>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</si>
  <si>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</si>
  <si>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</si>
  <si>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</si>
  <si>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</si>
  <si>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</si>
  <si>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</si>
  <si>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</si>
  <si>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</si>
  <si>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</si>
  <si>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</si>
  <si>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</si>
  <si>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</si>
  <si>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</si>
  <si>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</si>
  <si>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</si>
  <si>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</si>
  <si>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</si>
  <si>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</si>
  <si>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</si>
  <si>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</si>
  <si>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</si>
  <si>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</si>
  <si>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</si>
  <si>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</si>
  <si>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</si>
  <si>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</si>
  <si>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</si>
  <si>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</si>
  <si>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</si>
  <si>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</si>
  <si>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</si>
  <si>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</si>
  <si>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</si>
  <si>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</si>
  <si>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</si>
  <si>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</si>
  <si>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</si>
  <si>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</si>
  <si>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</si>
  <si>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</si>
  <si>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</si>
  <si>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</si>
  <si>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</si>
  <si>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</si>
  <si>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</si>
  <si>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</si>
  <si>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</si>
  <si>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</si>
  <si>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</si>
  <si>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</si>
  <si>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</si>
  <si>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</si>
  <si>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</si>
  <si>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</si>
  <si>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</si>
  <si>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</si>
  <si>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</si>
  <si>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</si>
  <si>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</si>
  <si>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</si>
  <si>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</si>
  <si>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</si>
  <si>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</si>
  <si>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</si>
  <si>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</si>
  <si>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</si>
  <si>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</si>
  <si>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</si>
  <si>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</si>
  <si>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</si>
  <si>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</si>
  <si>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</si>
  <si>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</si>
  <si>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</si>
  <si>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</si>
  <si>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</si>
  <si>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</si>
  <si>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</si>
  <si>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</si>
  <si>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</si>
  <si>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</si>
  <si>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</si>
  <si>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</si>
  <si>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</si>
  <si>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</si>
  <si>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</si>
  <si>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</si>
  <si>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</si>
  <si>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</si>
  <si>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</si>
  <si>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</si>
  <si>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</si>
  <si>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</si>
  <si>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</si>
  <si>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</si>
  <si>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</si>
  <si>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</si>
  <si>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</si>
  <si>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</si>
  <si>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</si>
  <si>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</si>
  <si>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</si>
  <si>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</si>
  <si>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</si>
  <si>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</si>
  <si>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</si>
  <si>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</si>
  <si>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</si>
  <si>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</si>
  <si>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</si>
  <si>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</si>
  <si>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</si>
  <si>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</si>
  <si>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</si>
  <si>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</si>
  <si>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</si>
  <si>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</si>
  <si>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</si>
  <si>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</si>
  <si>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</si>
  <si>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</si>
  <si>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</si>
  <si>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</si>
  <si>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</si>
  <si>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</si>
  <si>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</si>
  <si>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</si>
  <si>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</si>
  <si>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</si>
  <si>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</si>
  <si>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</si>
  <si>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</si>
  <si>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</si>
  <si>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</si>
  <si>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</si>
  <si>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</si>
  <si>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</si>
  <si>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</si>
  <si>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</si>
  <si>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</si>
  <si>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</si>
  <si>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</si>
  <si>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</si>
  <si>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</si>
  <si>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</si>
  <si>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</si>
  <si>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</si>
  <si>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</si>
  <si>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</si>
  <si>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</si>
  <si>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</si>
  <si>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</si>
  <si>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</si>
  <si>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</si>
  <si>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</si>
  <si>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</si>
  <si>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</si>
  <si>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</si>
  <si>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</si>
  <si>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</si>
  <si>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</si>
  <si>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</si>
  <si>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</si>
  <si>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</si>
  <si>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</si>
  <si>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</si>
  <si>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</si>
  <si>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</si>
  <si>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</si>
  <si>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</si>
  <si>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</si>
  <si>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</si>
  <si>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</si>
  <si>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</si>
  <si>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</si>
  <si>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</si>
  <si>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</si>
  <si>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</si>
  <si>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</si>
  <si>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</si>
  <si>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</si>
  <si>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</si>
  <si>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</si>
  <si>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</si>
  <si>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</si>
  <si>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</si>
  <si>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</si>
  <si>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</si>
  <si>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</si>
  <si>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</si>
  <si>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</si>
  <si>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</si>
  <si>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</si>
  <si>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</si>
  <si>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</si>
  <si>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</si>
  <si>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</si>
  <si>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</si>
  <si>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</si>
  <si>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</si>
  <si>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</si>
  <si>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</si>
  <si>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</si>
  <si>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</si>
  <si>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</si>
  <si>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</si>
  <si>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</si>
  <si>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</si>
  <si>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</si>
  <si>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</si>
  <si>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</si>
  <si>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</si>
  <si>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</si>
  <si>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</si>
  <si>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</si>
  <si>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</si>
  <si>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</si>
  <si>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</si>
  <si>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</si>
  <si>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</si>
  <si>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</si>
  <si>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</si>
  <si>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</si>
  <si>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</si>
  <si>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</si>
  <si>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</si>
  <si>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</si>
  <si>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</si>
  <si>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</si>
  <si>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</si>
  <si>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</si>
  <si>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</si>
  <si>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</si>
  <si>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</si>
  <si>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</si>
  <si>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</si>
  <si>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</si>
  <si>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</si>
  <si>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</si>
  <si>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</si>
  <si>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</si>
  <si>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</si>
  <si>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</si>
  <si>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</si>
  <si>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</si>
  <si>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</si>
  <si>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</si>
  <si>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</si>
  <si>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</si>
  <si>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</si>
  <si>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</si>
  <si>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</si>
  <si>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</si>
  <si>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</si>
  <si>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</si>
  <si>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</si>
  <si>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</si>
  <si>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</si>
  <si>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</si>
  <si>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</si>
  <si>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</si>
  <si>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</si>
  <si>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</si>
  <si>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</si>
  <si>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</si>
  <si>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</si>
  <si>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</si>
  <si>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</si>
  <si>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</si>
  <si>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</si>
  <si>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</si>
  <si>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</si>
  <si>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</si>
  <si>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</si>
  <si>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</si>
  <si>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</si>
  <si>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</si>
  <si>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</si>
  <si>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</si>
  <si>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</si>
  <si>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</si>
  <si>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</si>
  <si>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</si>
  <si>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</si>
  <si>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</si>
  <si>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</si>
  <si>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</si>
  <si>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</si>
  <si>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</si>
  <si>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</si>
  <si>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</si>
  <si>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</si>
  <si>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</si>
  <si>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</si>
  <si>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</si>
  <si>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</si>
  <si>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</si>
  <si>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</si>
  <si>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</si>
  <si>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</si>
  <si>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</si>
  <si>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</si>
  <si>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</si>
  <si>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</si>
  <si>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</si>
  <si>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</si>
  <si>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</si>
  <si>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</si>
  <si>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</si>
  <si>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</si>
  <si>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</si>
  <si>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</si>
  <si>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</si>
  <si>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</si>
  <si>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</si>
  <si>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</si>
  <si>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</si>
  <si>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</si>
  <si>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</si>
  <si>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</si>
  <si>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</si>
  <si>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</si>
  <si>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</si>
  <si>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</si>
  <si>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</si>
  <si>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</si>
  <si>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</si>
  <si>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</si>
  <si>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</si>
  <si>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</si>
  <si>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</si>
  <si>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</si>
  <si>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</si>
  <si>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</si>
  <si>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</si>
  <si>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</si>
  <si>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</si>
  <si>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</si>
  <si>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</si>
  <si>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</si>
  <si>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</si>
  <si>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</si>
  <si>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</si>
  <si>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</si>
  <si>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</si>
  <si>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</si>
  <si>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</si>
  <si>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</si>
  <si>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</si>
  <si>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</si>
  <si>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</si>
  <si>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</si>
  <si>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</si>
  <si>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</si>
  <si>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</si>
  <si>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</si>
  <si>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</si>
  <si>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</si>
  <si>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</si>
  <si>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</si>
  <si>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</si>
  <si>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</si>
  <si>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</si>
  <si>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</si>
  <si>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</si>
  <si>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</si>
  <si>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</si>
  <si>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</si>
  <si>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</si>
  <si>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</si>
  <si>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</si>
  <si>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</si>
  <si>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</si>
  <si>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</si>
  <si>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</si>
  <si>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</si>
  <si>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</si>
  <si>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</si>
  <si>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</si>
  <si>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</si>
  <si>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</si>
  <si>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</si>
  <si>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</si>
  <si>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</si>
  <si>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</si>
  <si>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</si>
  <si>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</si>
  <si>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</si>
  <si>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</si>
  <si>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</si>
  <si>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</si>
  <si>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</si>
  <si>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</si>
  <si>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</si>
  <si>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</si>
  <si>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</si>
  <si>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</si>
  <si>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</si>
  <si>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</si>
  <si>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</si>
  <si>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</si>
  <si>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</si>
  <si>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</si>
  <si>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</si>
  <si>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</si>
  <si>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</si>
  <si>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</si>
  <si>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</si>
  <si>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</si>
  <si>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</si>
  <si>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</si>
  <si>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</si>
  <si>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</si>
  <si>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</si>
  <si>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</si>
  <si>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</si>
  <si>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</si>
  <si>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</si>
  <si>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</si>
  <si>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</si>
  <si>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</si>
  <si>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</si>
  <si>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</si>
  <si>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</si>
  <si>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</si>
  <si>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</si>
  <si>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</si>
  <si>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</si>
  <si>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</si>
  <si>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</si>
  <si>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</si>
  <si>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</si>
  <si>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</si>
  <si>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</si>
  <si>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</si>
  <si>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</si>
  <si>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</si>
  <si>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</si>
  <si>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</si>
  <si>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</si>
  <si>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</si>
  <si>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</si>
  <si>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</si>
  <si>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</si>
  <si>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</si>
  <si>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</si>
  <si>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</si>
  <si>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</si>
  <si>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</si>
  <si>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</si>
  <si>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</si>
  <si>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</si>
  <si>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</si>
  <si>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</si>
  <si>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</si>
  <si>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</si>
  <si>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</si>
  <si>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</si>
  <si>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</si>
  <si>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</si>
  <si>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</si>
  <si>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</si>
  <si>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</si>
  <si>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</si>
  <si>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</si>
  <si>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</si>
  <si>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</si>
  <si>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</si>
  <si>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</si>
  <si>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</si>
  <si>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</si>
  <si>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</si>
  <si>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</si>
  <si>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</si>
  <si>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</si>
  <si>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</si>
  <si>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</si>
  <si>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</si>
  <si>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</si>
  <si>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</si>
  <si>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</si>
  <si>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</si>
  <si>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</si>
  <si>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</si>
  <si>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</si>
  <si>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</si>
  <si>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</si>
  <si>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</si>
  <si>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</si>
  <si>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</si>
  <si>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</si>
  <si>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</si>
  <si>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</si>
  <si>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</si>
  <si>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</si>
  <si>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</si>
  <si>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</si>
  <si>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</si>
  <si>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</si>
  <si>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</si>
  <si>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</si>
  <si>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</si>
  <si>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</si>
  <si>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</si>
  <si>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</si>
  <si>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</si>
  <si>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</si>
  <si>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</si>
  <si>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</si>
  <si>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</si>
  <si>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</si>
  <si>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</si>
  <si>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</si>
  <si>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</si>
  <si>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</si>
  <si>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</si>
  <si>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</si>
  <si>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</si>
  <si>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</si>
  <si>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</si>
  <si>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</si>
  <si>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</si>
  <si>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</si>
  <si>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</si>
  <si>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</si>
  <si>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</si>
  <si>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</si>
  <si>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</si>
  <si>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</si>
  <si>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</si>
  <si>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</si>
  <si>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</si>
  <si>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</si>
  <si>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</si>
  <si>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</si>
  <si>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</si>
  <si>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</si>
  <si>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</si>
  <si>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</si>
  <si>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</si>
  <si>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</si>
  <si>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</si>
  <si>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</si>
  <si>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</si>
  <si>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</si>
  <si>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</si>
  <si>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</si>
  <si>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</si>
  <si>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</si>
  <si>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</si>
  <si>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</si>
  <si>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</si>
  <si>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</si>
  <si>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</si>
  <si>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</si>
  <si>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</si>
  <si>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</si>
  <si>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</si>
  <si>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</si>
  <si>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</si>
  <si>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</si>
  <si>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</si>
  <si>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</si>
  <si>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</si>
  <si>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</si>
  <si>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</si>
  <si>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</si>
  <si>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</si>
  <si>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</si>
  <si>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</si>
  <si>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</si>
  <si>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</si>
  <si>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</si>
  <si>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</si>
  <si>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</si>
  <si>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</si>
  <si>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</si>
  <si>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</si>
  <si>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</si>
  <si>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</si>
  <si>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</si>
  <si>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</si>
  <si>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</si>
  <si>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</si>
  <si>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</si>
  <si>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</si>
  <si>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</si>
  <si>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</si>
  <si>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</si>
  <si>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</si>
  <si>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</si>
  <si>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</si>
  <si>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</si>
  <si>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</si>
  <si>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</si>
  <si>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</si>
  <si>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</si>
  <si>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</si>
  <si>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</si>
  <si>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</si>
  <si>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</si>
  <si>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</si>
  <si>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</si>
  <si>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</si>
  <si>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</si>
  <si>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</si>
  <si>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</si>
  <si>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</si>
  <si>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</si>
  <si>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</si>
  <si>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</si>
  <si>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</si>
  <si>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</si>
  <si>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</si>
  <si>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</si>
  <si>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</si>
  <si>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</si>
  <si>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</si>
  <si>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</si>
  <si>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</si>
  <si>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</si>
  <si>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</si>
  <si>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</si>
  <si>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</si>
  <si>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</si>
  <si>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</si>
  <si>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</si>
  <si>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</si>
  <si>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</si>
  <si>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</si>
  <si>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</si>
  <si>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</si>
  <si>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</si>
  <si>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</si>
  <si>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</si>
  <si>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</si>
  <si>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</si>
  <si>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</si>
  <si>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</si>
  <si>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</si>
  <si>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</si>
  <si>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</si>
  <si>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</si>
  <si>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</si>
  <si>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</si>
  <si>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</si>
  <si>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</si>
  <si>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</si>
  <si>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</si>
  <si>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</si>
  <si>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</si>
  <si>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</si>
  <si>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</si>
  <si>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</si>
  <si>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</si>
  <si>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</si>
  <si>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</si>
  <si>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</si>
  <si>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</si>
  <si>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</si>
  <si>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</si>
  <si>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</si>
  <si>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</si>
  <si>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</si>
  <si>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</si>
  <si>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</si>
  <si>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</si>
  <si>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</si>
  <si>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</si>
  <si>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</si>
  <si>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</si>
  <si>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</si>
  <si>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</si>
  <si>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</si>
  <si>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</si>
  <si>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</si>
  <si>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</si>
  <si>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</si>
  <si>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</si>
  <si>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</si>
  <si>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</si>
  <si>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</si>
  <si>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</si>
  <si>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</si>
  <si>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</si>
  <si>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</si>
  <si>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</si>
  <si>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</si>
  <si>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</si>
  <si>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</si>
  <si>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</si>
  <si>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</si>
  <si>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</si>
  <si>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</si>
  <si>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</si>
  <si>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</si>
  <si>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</si>
  <si>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</si>
  <si>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</si>
  <si>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</si>
  <si>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</si>
  <si>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</si>
  <si>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</si>
  <si>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</si>
  <si>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</si>
  <si>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</si>
  <si>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</si>
  <si>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</si>
  <si>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</si>
  <si>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</si>
  <si>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</si>
  <si>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</si>
  <si>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</si>
  <si>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</si>
  <si>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</si>
  <si>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</si>
  <si>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</si>
  <si>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</si>
  <si>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</si>
  <si>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</si>
  <si>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</si>
  <si>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</si>
  <si>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</si>
  <si>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</si>
  <si>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</si>
  <si>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</si>
  <si>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</si>
  <si>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</si>
  <si>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</si>
  <si>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</si>
  <si>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</si>
  <si>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</si>
  <si>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</si>
  <si>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</si>
  <si>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</si>
  <si>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</si>
  <si>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</si>
  <si>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</si>
  <si>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</si>
  <si>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</si>
  <si>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</si>
  <si>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</si>
  <si>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</si>
  <si>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</si>
  <si>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</si>
  <si>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</si>
  <si>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</si>
  <si>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</si>
  <si>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</si>
  <si>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</si>
  <si>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</si>
  <si>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</si>
  <si>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</si>
  <si>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</si>
  <si>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</si>
  <si>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</si>
  <si>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</si>
  <si>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</si>
  <si>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</si>
  <si>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</si>
  <si>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</si>
  <si>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</si>
  <si>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</si>
  <si>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</si>
  <si>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</si>
  <si>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</si>
  <si>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</si>
  <si>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</si>
  <si>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</si>
  <si>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</si>
  <si>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</si>
  <si>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</si>
  <si>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</si>
  <si>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</si>
  <si>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</si>
  <si>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</si>
  <si>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</si>
  <si>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</si>
  <si>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</si>
  <si>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</si>
  <si>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</si>
  <si>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</si>
  <si>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</si>
  <si>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</si>
  <si>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</si>
  <si>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</si>
  <si>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</si>
  <si>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</si>
  <si>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</si>
  <si>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</si>
  <si>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</si>
  <si>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</si>
  <si>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</si>
  <si>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</si>
  <si>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</si>
  <si>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</si>
  <si>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</si>
  <si>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</si>
  <si>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</si>
  <si>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</si>
  <si>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</si>
  <si>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</si>
  <si>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</si>
  <si>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</si>
  <si>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</si>
  <si>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</si>
  <si>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</si>
  <si>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</si>
  <si>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</si>
  <si>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</si>
  <si>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</si>
  <si>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</si>
  <si>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</si>
  <si>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</si>
  <si>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</si>
  <si>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</si>
  <si>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</si>
  <si>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</si>
  <si>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</si>
  <si>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</si>
  <si>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</si>
  <si>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</si>
  <si>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</si>
  <si>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</si>
  <si>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</si>
  <si>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</si>
  <si>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</si>
  <si>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</si>
  <si>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</si>
  <si>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</si>
  <si>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</si>
  <si>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</si>
  <si>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</si>
  <si>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</si>
  <si>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</si>
  <si>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</si>
  <si>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</si>
  <si>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</si>
  <si>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</si>
  <si>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</si>
  <si>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</si>
  <si>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</si>
  <si>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</si>
  <si>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</si>
  <si>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</si>
  <si>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</si>
  <si>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</si>
  <si>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</si>
  <si>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</si>
  <si>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</si>
  <si>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</si>
  <si>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</si>
  <si>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</si>
  <si>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</si>
  <si>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</si>
  <si>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</si>
  <si>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</si>
  <si>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</si>
  <si>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</si>
  <si>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</si>
  <si>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</si>
  <si>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</si>
  <si>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</si>
  <si>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</si>
  <si>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</si>
  <si>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</si>
  <si>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</si>
  <si>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</si>
  <si>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</si>
  <si>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</si>
  <si>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</si>
  <si>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</si>
  <si>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</si>
  <si>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</si>
  <si>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</si>
  <si>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</si>
  <si>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</si>
  <si>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</si>
  <si>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</si>
  <si>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</si>
  <si>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</si>
  <si>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</si>
  <si>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</si>
  <si>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</si>
  <si>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</si>
  <si>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</si>
  <si>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</si>
  <si>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</si>
  <si>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</si>
  <si>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</si>
  <si>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</si>
  <si>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</si>
  <si>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</si>
  <si>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</si>
  <si>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</si>
  <si>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</si>
  <si>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</si>
  <si>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</si>
  <si>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</si>
  <si>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</si>
  <si>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</si>
  <si>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</si>
  <si>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</si>
  <si>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</si>
  <si>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</si>
  <si>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</si>
  <si>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</si>
  <si>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</si>
  <si>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</si>
  <si>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</si>
  <si>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</si>
  <si>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</si>
  <si>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</si>
  <si>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</si>
  <si>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</si>
  <si>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</si>
  <si>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</si>
  <si>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</si>
  <si>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</si>
  <si>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</si>
  <si>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</si>
  <si>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</si>
  <si>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</si>
  <si>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</si>
  <si>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</si>
  <si>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</si>
  <si>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</si>
  <si>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</si>
  <si>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</si>
  <si>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</si>
  <si>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</si>
  <si>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</si>
  <si>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</si>
  <si>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</si>
  <si>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</si>
  <si>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</si>
  <si>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</si>
  <si>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</si>
  <si>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</si>
  <si>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</si>
  <si>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</si>
  <si>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</si>
  <si>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</si>
  <si>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</si>
  <si>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</si>
  <si>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</si>
  <si>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</si>
  <si>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</si>
  <si>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</si>
  <si>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</si>
  <si>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</si>
  <si>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</si>
  <si>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</si>
  <si>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</si>
  <si>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</si>
  <si>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</si>
  <si>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</si>
  <si>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</si>
  <si>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</si>
  <si>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</si>
  <si>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</si>
  <si>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</si>
  <si>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</si>
  <si>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</si>
  <si>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</si>
  <si>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</si>
  <si>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</si>
  <si>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</si>
  <si>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</si>
  <si>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</si>
  <si>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</si>
  <si>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</si>
  <si>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</si>
  <si>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</si>
  <si>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</si>
  <si>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</si>
  <si>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</si>
  <si>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</si>
  <si>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</si>
  <si>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</si>
  <si>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</si>
  <si>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</si>
  <si>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</si>
  <si>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</si>
  <si>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</si>
  <si>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</si>
  <si>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</si>
  <si>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</si>
  <si>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</si>
  <si>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</si>
  <si>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</si>
  <si>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</si>
  <si>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</si>
  <si>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</si>
  <si>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</si>
  <si>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</si>
  <si>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</si>
  <si>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</si>
  <si>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</si>
  <si>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</si>
  <si>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</si>
  <si>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</si>
  <si>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</si>
  <si>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</si>
  <si>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</si>
  <si>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</si>
  <si>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</si>
  <si>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</si>
  <si>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</si>
  <si>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</si>
  <si>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</si>
  <si>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</si>
  <si>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</si>
  <si>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</si>
  <si>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</si>
  <si>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</si>
  <si>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</si>
  <si>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</si>
  <si>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</si>
  <si>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</si>
  <si>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</si>
  <si>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</si>
  <si>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</si>
  <si>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</si>
  <si>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</si>
  <si>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</si>
  <si>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</si>
  <si>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</si>
  <si>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</si>
  <si>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</si>
  <si>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</si>
  <si>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</si>
  <si>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</si>
  <si>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</si>
  <si>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</si>
  <si>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</si>
  <si>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</si>
  <si>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</si>
  <si>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</si>
  <si>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</si>
  <si>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</si>
  <si>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</si>
  <si>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</si>
  <si>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</si>
  <si>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</si>
  <si>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</si>
  <si>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</si>
  <si>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</si>
  <si>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</si>
  <si>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</si>
  <si>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</si>
  <si>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</si>
  <si>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</si>
  <si>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</si>
  <si>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</si>
  <si>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</si>
  <si>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</si>
  <si>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</si>
  <si>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</si>
  <si>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</si>
  <si>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</si>
  <si>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</si>
  <si>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</si>
  <si>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</si>
  <si>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</si>
  <si>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</si>
  <si>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</si>
  <si>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</si>
  <si>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</si>
  <si>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</si>
  <si>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</si>
  <si>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</si>
  <si>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</si>
  <si>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</si>
  <si>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</si>
  <si>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</si>
  <si>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</si>
  <si>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</si>
  <si>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</si>
  <si>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</si>
  <si>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</si>
  <si>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</si>
  <si>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</si>
  <si>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</si>
  <si>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</si>
  <si>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</si>
  <si>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</si>
  <si>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</si>
  <si>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</si>
  <si>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</si>
  <si>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</si>
  <si>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</si>
  <si>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</si>
  <si>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</si>
  <si>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</si>
  <si>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</si>
  <si>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</si>
  <si>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</si>
  <si>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</si>
  <si>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</si>
  <si>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</si>
  <si>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</si>
  <si>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</si>
  <si>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</si>
  <si>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</si>
  <si>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</si>
  <si>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</si>
  <si>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</si>
  <si>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</si>
  <si>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</si>
  <si>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</si>
  <si>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</si>
  <si>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</si>
  <si>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</si>
  <si>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</si>
  <si>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</si>
  <si>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</si>
  <si>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</si>
  <si>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</si>
  <si>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</si>
  <si>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</si>
  <si>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</si>
  <si>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</si>
  <si>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</si>
  <si>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</si>
  <si>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</si>
  <si>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</si>
  <si>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</si>
  <si>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</si>
  <si>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</si>
  <si>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</si>
  <si>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</si>
  <si>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</si>
  <si>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</si>
  <si>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</si>
  <si>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</si>
  <si>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</si>
  <si>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</si>
  <si>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</si>
  <si>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</si>
  <si>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</si>
  <si>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</si>
  <si>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</si>
  <si>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</si>
  <si>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</si>
  <si>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</si>
  <si>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</si>
  <si>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</si>
  <si>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</si>
  <si>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</si>
  <si>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</si>
  <si>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</si>
  <si>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</si>
  <si>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</si>
  <si>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</si>
  <si>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</si>
  <si>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</si>
  <si>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</si>
  <si>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</si>
  <si>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</si>
  <si>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</si>
  <si>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</si>
  <si>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</si>
  <si>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</si>
  <si>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</si>
  <si>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</si>
  <si>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</si>
  <si>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</si>
  <si>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</si>
  <si>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</si>
  <si>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</si>
  <si>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</si>
  <si>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</si>
  <si>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</si>
  <si>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</si>
  <si>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</si>
  <si>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</si>
  <si>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</si>
  <si>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</si>
  <si>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</si>
  <si>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</si>
  <si>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</si>
  <si>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</si>
  <si>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</si>
  <si>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</si>
  <si>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</si>
  <si>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</si>
  <si>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</si>
  <si>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</si>
  <si>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</si>
  <si>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</si>
  <si>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</si>
  <si>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</si>
  <si>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</si>
  <si>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</si>
  <si>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</si>
  <si>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</si>
  <si>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</si>
  <si>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</si>
  <si>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</si>
  <si>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</si>
  <si>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</si>
  <si>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</si>
  <si>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</si>
  <si>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</si>
  <si>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</si>
  <si>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</si>
  <si>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</si>
  <si>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</si>
  <si>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</si>
  <si>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</si>
  <si>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</si>
  <si>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</si>
  <si>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</si>
  <si>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</si>
  <si>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</si>
  <si>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</si>
  <si>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</si>
  <si>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</si>
  <si>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</si>
  <si>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</si>
  <si>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</si>
  <si>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</si>
  <si>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</si>
  <si>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</si>
  <si>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</si>
  <si>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</si>
  <si>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</si>
  <si>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</si>
  <si>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</si>
  <si>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</si>
  <si>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</si>
  <si>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</si>
  <si>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</si>
  <si>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</si>
  <si>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</si>
  <si>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</si>
  <si>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</si>
  <si>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</si>
  <si>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</si>
  <si>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</si>
  <si>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</si>
  <si>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</si>
  <si>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</si>
  <si>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</si>
  <si>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</si>
  <si>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</si>
  <si>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</si>
  <si>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</si>
  <si>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</si>
  <si>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</si>
  <si>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</si>
  <si>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</si>
  <si>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</si>
  <si>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</si>
  <si>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</si>
  <si>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</si>
  <si>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</si>
  <si>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</si>
  <si>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</si>
  <si>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</si>
  <si>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</si>
  <si>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</si>
  <si>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</si>
  <si>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</si>
  <si>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</si>
  <si>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</si>
  <si>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</si>
  <si>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</si>
  <si>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</si>
  <si>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</si>
  <si>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</si>
  <si>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</si>
  <si>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</si>
  <si>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</si>
  <si>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</si>
  <si>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</si>
  <si>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</si>
  <si>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</si>
  <si>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</si>
  <si>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</si>
  <si>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</si>
  <si>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</si>
  <si>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</si>
  <si>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</si>
  <si>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</si>
  <si>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</si>
  <si>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</si>
  <si>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</si>
  <si>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</si>
  <si>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</si>
  <si>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</si>
  <si>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</si>
  <si>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</si>
  <si>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</si>
  <si>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</si>
  <si>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</si>
  <si>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</si>
  <si>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</si>
  <si>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</si>
  <si>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</si>
  <si>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</si>
  <si>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</si>
  <si>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</si>
  <si>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</si>
  <si>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</si>
  <si>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</si>
  <si>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</si>
  <si>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</si>
  <si>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</si>
  <si>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</si>
  <si>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</si>
  <si>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</si>
  <si>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</si>
  <si>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</si>
  <si>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</si>
  <si>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</si>
  <si>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</si>
  <si>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</si>
  <si>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</si>
  <si>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</si>
  <si>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</si>
  <si>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</si>
  <si>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</si>
  <si>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</si>
  <si>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</si>
  <si>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</si>
  <si>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</si>
  <si>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</si>
  <si>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</si>
  <si>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</si>
  <si>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</si>
  <si>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</si>
  <si>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</si>
  <si>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</si>
  <si>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</si>
  <si>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</si>
  <si>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</si>
  <si>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</si>
  <si>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</si>
  <si>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</si>
  <si>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</si>
  <si>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</si>
  <si>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</si>
  <si>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</si>
  <si>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</si>
  <si>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</si>
  <si>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</si>
  <si>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</si>
  <si>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</si>
  <si>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</si>
  <si>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</si>
  <si>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</si>
  <si>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</si>
  <si>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</si>
  <si>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</si>
  <si>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</si>
  <si>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</si>
  <si>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</si>
  <si>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</si>
  <si>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</si>
  <si>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</si>
  <si>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</si>
  <si>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</si>
  <si>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</si>
  <si>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</si>
  <si>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</si>
  <si>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</si>
  <si>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</si>
  <si>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</si>
  <si>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</si>
  <si>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</si>
  <si>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</si>
  <si>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</si>
  <si>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</si>
  <si>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</si>
  <si>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</si>
  <si>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</si>
  <si>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</si>
  <si>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</si>
  <si>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</si>
  <si>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</si>
  <si>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</si>
  <si>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</si>
  <si>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</si>
  <si>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</si>
  <si>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</si>
  <si>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</si>
  <si>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</si>
  <si>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</si>
  <si>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</si>
  <si>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</si>
  <si>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</si>
  <si>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</si>
  <si>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</si>
  <si>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</si>
  <si>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</si>
  <si>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</si>
  <si>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</si>
  <si>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</si>
  <si>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</si>
  <si>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</si>
  <si>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</si>
  <si>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</si>
  <si>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</si>
  <si>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</si>
  <si>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</si>
  <si>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</si>
  <si>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</si>
  <si>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</si>
  <si>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</si>
  <si>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</si>
  <si>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</si>
  <si>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</si>
  <si>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</si>
  <si>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</si>
  <si>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</si>
  <si>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</si>
  <si>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</si>
  <si>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</si>
  <si>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</si>
  <si>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</si>
  <si>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</si>
  <si>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</si>
  <si>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</si>
  <si>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</si>
  <si>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</si>
  <si>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</si>
  <si>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</si>
  <si>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</si>
  <si>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</si>
  <si>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</si>
  <si>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</si>
  <si>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</si>
  <si>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</si>
  <si>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</si>
  <si>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</si>
  <si>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</si>
  <si>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</si>
  <si>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</si>
  <si>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</si>
  <si>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</si>
  <si>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</si>
  <si>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</si>
  <si>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</si>
  <si>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</si>
  <si>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</si>
  <si>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</si>
  <si>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</si>
  <si>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</si>
  <si>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</si>
  <si>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</si>
  <si>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</si>
  <si>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</si>
  <si>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</si>
  <si>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</si>
  <si>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</si>
  <si>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</si>
  <si>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</si>
  <si>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</si>
  <si>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</si>
  <si>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</si>
  <si>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</si>
  <si>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</si>
  <si>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</si>
  <si>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</si>
  <si>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</si>
  <si>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</si>
  <si>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</si>
  <si>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</si>
  <si>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</si>
  <si>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</si>
  <si>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</si>
  <si>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</si>
  <si>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</si>
  <si>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</si>
  <si>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</si>
  <si>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</si>
  <si>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</si>
  <si>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</si>
  <si>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</si>
  <si>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</si>
  <si>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</si>
  <si>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</si>
  <si>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</si>
  <si>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</si>
  <si>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</si>
  <si>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</si>
  <si>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</si>
  <si>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</si>
  <si>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</si>
  <si>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</si>
  <si>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</si>
  <si>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</si>
  <si>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</si>
  <si>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</si>
  <si>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</si>
  <si>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</si>
  <si>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</si>
  <si>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</si>
  <si>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</si>
  <si>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</si>
  <si>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</si>
  <si>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</si>
  <si>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</si>
  <si>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</si>
  <si>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</si>
  <si>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</si>
  <si>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</si>
  <si>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</si>
  <si>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</si>
  <si>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</si>
  <si>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</si>
  <si>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</si>
  <si>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</si>
  <si>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</si>
  <si>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</si>
  <si>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</si>
  <si>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</si>
  <si>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</si>
  <si>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</si>
  <si>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</si>
  <si>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</si>
  <si>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</si>
  <si>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</si>
  <si>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</si>
  <si>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</si>
  <si>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</si>
  <si>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</si>
  <si>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</si>
  <si>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</si>
  <si>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</si>
  <si>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</si>
  <si>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</si>
  <si>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</si>
  <si>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</si>
  <si>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</si>
  <si>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</si>
  <si>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</si>
  <si>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</si>
  <si>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</si>
  <si>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</si>
  <si>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</si>
  <si>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</si>
  <si>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</si>
  <si>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</si>
  <si>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</si>
  <si>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</si>
  <si>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</si>
  <si>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</si>
  <si>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</si>
  <si>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</si>
  <si>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</si>
  <si>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</si>
  <si>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</si>
  <si>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</si>
  <si>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</si>
  <si>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</si>
  <si>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</si>
  <si>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</si>
  <si>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</si>
  <si>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</si>
  <si>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</si>
  <si>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</si>
  <si>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</si>
  <si>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</si>
  <si>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</si>
  <si>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</si>
  <si>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</si>
  <si>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</si>
  <si>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</si>
  <si>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</si>
  <si>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</si>
  <si>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</si>
  <si>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</si>
  <si>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</si>
  <si>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</si>
  <si>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</si>
  <si>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</si>
  <si>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</si>
  <si>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</si>
  <si>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</si>
  <si>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</si>
  <si>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</si>
  <si>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</si>
  <si>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</si>
  <si>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</si>
  <si>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</si>
  <si>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</si>
  <si>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</si>
  <si>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</si>
  <si>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</si>
  <si>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</si>
  <si>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</si>
  <si>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</si>
  <si>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</si>
  <si>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</si>
  <si>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</si>
  <si>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</si>
  <si>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</si>
  <si>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</si>
  <si>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</si>
  <si>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</si>
  <si>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</si>
  <si>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</si>
  <si>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</si>
  <si>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</si>
  <si>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</si>
  <si>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</si>
  <si>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</si>
  <si>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</si>
  <si>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</si>
  <si>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</si>
  <si>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</si>
  <si>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</si>
  <si>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</si>
  <si>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</si>
  <si>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</si>
  <si>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</si>
  <si>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</si>
  <si>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</si>
  <si>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</si>
  <si>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</si>
  <si>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</si>
  <si>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</si>
  <si>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</si>
  <si>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</si>
  <si>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</si>
  <si>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</si>
  <si>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</si>
  <si>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</si>
  <si>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</si>
  <si>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</si>
  <si>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</si>
  <si>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</si>
  <si>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</si>
  <si>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</si>
  <si>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</si>
  <si>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</si>
  <si>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</si>
  <si>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</si>
  <si>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</si>
  <si>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</si>
  <si>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</si>
  <si>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</si>
  <si>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</si>
  <si>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</si>
  <si>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</si>
  <si>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</si>
  <si>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</si>
  <si>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</si>
  <si>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</si>
  <si>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</si>
  <si>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</si>
  <si>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</si>
  <si>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</si>
  <si>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</si>
  <si>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</si>
  <si>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</si>
  <si>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</si>
  <si>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</si>
  <si>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</si>
  <si>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</si>
  <si>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</si>
  <si>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</si>
  <si>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</si>
  <si>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</si>
  <si>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</si>
  <si>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</si>
  <si>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</si>
  <si>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</si>
  <si>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</si>
  <si>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</si>
  <si>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</si>
  <si>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</si>
  <si>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</si>
  <si>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</si>
  <si>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</si>
  <si>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</si>
  <si>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</si>
  <si>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</si>
  <si>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</si>
  <si>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</si>
  <si>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</si>
  <si>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</si>
  <si>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</si>
  <si>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</si>
  <si>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</si>
  <si>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</si>
  <si>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</si>
  <si>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</si>
  <si>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</si>
  <si>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</si>
  <si>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</si>
  <si>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</si>
  <si>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</si>
  <si>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</si>
  <si>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</si>
  <si>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</si>
  <si>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</si>
  <si>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</si>
  <si>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</si>
  <si>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</si>
  <si>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</si>
  <si>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</si>
  <si>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</si>
  <si>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</si>
  <si>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</si>
  <si>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</si>
  <si>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</si>
  <si>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</si>
  <si>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</si>
  <si>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</si>
  <si>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</si>
  <si>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</si>
  <si>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</si>
  <si>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</si>
  <si>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</si>
  <si>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</si>
  <si>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</si>
  <si>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</si>
  <si>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</si>
  <si>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</si>
  <si>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</si>
  <si>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</si>
  <si>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</si>
  <si>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</si>
  <si>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</si>
  <si>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</si>
  <si>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</si>
  <si>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</si>
  <si>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</si>
  <si>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</si>
  <si>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</si>
  <si>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</si>
  <si>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</si>
  <si>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</si>
  <si>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</si>
  <si>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</si>
  <si>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</si>
  <si>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</si>
  <si>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</si>
  <si>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</si>
  <si>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</si>
  <si>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</si>
  <si>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</si>
  <si>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</si>
  <si>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</si>
  <si>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</si>
  <si>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</si>
  <si>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</si>
  <si>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</si>
  <si>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</si>
  <si>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</si>
  <si>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</si>
  <si>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</si>
  <si>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</si>
  <si>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</si>
  <si>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</si>
  <si>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</si>
  <si>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</si>
  <si>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</si>
  <si>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</si>
  <si>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</si>
  <si>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</si>
  <si>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</si>
  <si>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</si>
  <si>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</si>
  <si>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</si>
  <si>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</si>
  <si>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</si>
  <si>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</si>
  <si>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</si>
  <si>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</si>
  <si>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</si>
  <si>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</si>
  <si>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</si>
  <si>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</si>
  <si>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</si>
  <si>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</si>
  <si>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</si>
  <si>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</si>
  <si>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</si>
  <si>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</si>
  <si>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</si>
  <si>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</si>
  <si>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</si>
  <si>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</si>
  <si>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</si>
  <si>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</si>
  <si>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</si>
  <si>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</si>
  <si>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</si>
  <si>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</si>
  <si>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</si>
  <si>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</si>
  <si>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</si>
  <si>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</si>
  <si>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</si>
  <si>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</si>
  <si>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</si>
  <si>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</si>
  <si>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</si>
  <si>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</si>
  <si>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</si>
  <si>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</si>
  <si>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</si>
  <si>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</si>
  <si>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</si>
  <si>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</si>
  <si>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</si>
  <si>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</si>
  <si>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</si>
  <si>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</si>
  <si>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</si>
  <si>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</si>
  <si>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</si>
  <si>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</si>
  <si>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</si>
  <si>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</si>
  <si>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</si>
  <si>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</si>
  <si>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</si>
  <si>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</si>
  <si>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</si>
  <si>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</si>
  <si>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</si>
  <si>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</si>
  <si>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</si>
  <si>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</si>
  <si>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</si>
  <si>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</si>
  <si>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</si>
  <si>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</si>
  <si>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</si>
  <si>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</si>
  <si>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</si>
  <si>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</si>
  <si>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</si>
  <si>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</si>
  <si>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</si>
  <si>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</si>
  <si>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</si>
  <si>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</si>
  <si>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</si>
  <si>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</si>
  <si>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</si>
  <si>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</si>
  <si>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</si>
  <si>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</si>
  <si>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</si>
  <si>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</si>
  <si>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</si>
  <si>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</si>
  <si>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</si>
  <si>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</si>
  <si>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</si>
  <si>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</si>
  <si>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</si>
  <si>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</si>
  <si>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</si>
  <si>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</si>
  <si>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</si>
  <si>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</si>
  <si>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</si>
  <si>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</si>
  <si>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</si>
  <si>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</si>
  <si>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</si>
  <si>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</si>
  <si>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</si>
  <si>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</si>
  <si>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</si>
  <si>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</si>
  <si>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</si>
  <si>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</si>
  <si>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</si>
  <si>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</si>
  <si>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</si>
  <si>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</si>
  <si>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</si>
  <si>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</si>
  <si>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</si>
  <si>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</si>
  <si>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</si>
  <si>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</si>
  <si>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</si>
  <si>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</si>
  <si>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</si>
  <si>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</si>
  <si>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</si>
  <si>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</si>
  <si>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</si>
  <si>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</si>
  <si>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</si>
  <si>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</si>
  <si>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</si>
  <si>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</si>
  <si>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</si>
  <si>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</si>
  <si>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</si>
  <si>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</si>
  <si>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</si>
  <si>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</si>
  <si>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</si>
  <si>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</si>
  <si>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</si>
  <si>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</si>
  <si>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</si>
  <si>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</si>
  <si>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</si>
  <si>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</si>
  <si>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</si>
  <si>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</si>
  <si>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</si>
  <si>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</si>
  <si>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</si>
  <si>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</si>
  <si>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</si>
  <si>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</si>
  <si>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</si>
  <si>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</si>
  <si>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</si>
  <si>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</si>
  <si>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</si>
  <si>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</si>
  <si>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</si>
  <si>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</si>
  <si>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</si>
  <si>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</si>
  <si>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</si>
  <si>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</si>
  <si>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</si>
  <si>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</si>
  <si>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</si>
  <si>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</si>
  <si>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</si>
  <si>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</si>
  <si>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</si>
  <si>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</si>
  <si>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</si>
  <si>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</si>
  <si>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</si>
  <si>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</si>
  <si>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</si>
  <si>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</si>
  <si>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</si>
  <si>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</si>
  <si>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</si>
  <si>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</si>
  <si>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</si>
  <si>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</si>
  <si>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</si>
  <si>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</si>
  <si>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</si>
  <si>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</si>
  <si>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</si>
  <si>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</si>
  <si>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</si>
  <si>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</si>
  <si>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</si>
  <si>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</si>
  <si>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</si>
  <si>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</si>
  <si>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</si>
  <si>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</si>
  <si>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</si>
  <si>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</si>
  <si>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</si>
  <si>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</si>
  <si>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</si>
  <si>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</si>
  <si>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</si>
  <si>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</si>
  <si>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</si>
  <si>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</si>
  <si>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</si>
  <si>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</si>
  <si>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</si>
  <si>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</si>
  <si>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</si>
  <si>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</si>
  <si>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</si>
  <si>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</si>
  <si>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</si>
  <si>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</si>
  <si>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</si>
  <si>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</si>
  <si>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</si>
  <si>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</si>
  <si>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</si>
  <si>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</si>
  <si>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</si>
  <si>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</si>
  <si>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</si>
  <si>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</si>
  <si>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</si>
  <si>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</si>
  <si>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</si>
  <si>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</si>
  <si>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</si>
  <si>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</si>
  <si>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</si>
  <si>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</si>
  <si>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</si>
  <si>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</si>
  <si>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</si>
  <si>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</si>
  <si>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</si>
  <si>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</si>
  <si>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</si>
  <si>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</si>
  <si>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</si>
  <si>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</si>
  <si>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</si>
  <si>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</si>
  <si>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</si>
  <si>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</si>
  <si>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</si>
  <si>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</si>
  <si>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</si>
  <si>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</si>
  <si>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</si>
  <si>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</si>
  <si>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</si>
  <si>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</si>
  <si>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</si>
  <si>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</si>
  <si>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</si>
  <si>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</si>
  <si>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</si>
  <si>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</si>
  <si>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</si>
  <si>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</si>
  <si>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</si>
  <si>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</si>
  <si>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</si>
  <si>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</si>
  <si>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</si>
  <si>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</si>
  <si>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</si>
  <si>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</si>
  <si>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</si>
  <si>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</si>
  <si>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</si>
  <si>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</si>
  <si>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</si>
  <si>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</si>
  <si>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</si>
  <si>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</si>
  <si>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</si>
  <si>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</si>
  <si>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</si>
  <si>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</si>
  <si>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</si>
  <si>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</si>
  <si>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</si>
  <si>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</si>
  <si>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</si>
  <si>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</si>
  <si>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</si>
  <si>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</si>
  <si>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</si>
  <si>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</si>
  <si>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</si>
  <si>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</si>
  <si>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</si>
  <si>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</si>
  <si>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</si>
  <si>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</si>
  <si>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</si>
  <si>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</si>
  <si>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</si>
  <si>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</si>
  <si>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</si>
  <si>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</si>
  <si>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</si>
  <si>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</si>
  <si>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</si>
  <si>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</si>
  <si>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</si>
  <si>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</si>
  <si>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</si>
  <si>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</si>
  <si>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</si>
  <si>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</si>
  <si>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</si>
  <si>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</si>
  <si>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</si>
  <si>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</si>
  <si>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</si>
  <si>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</si>
  <si>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</si>
  <si>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</si>
  <si>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</si>
  <si>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</si>
  <si>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</si>
  <si>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</si>
  <si>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</si>
  <si>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</si>
  <si>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</si>
  <si>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</si>
  <si>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</si>
  <si>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</si>
  <si>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</si>
  <si>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</si>
  <si>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</si>
  <si>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</si>
  <si>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</si>
  <si>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</si>
  <si>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</si>
  <si>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</si>
  <si>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</si>
  <si>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</si>
  <si>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</si>
  <si>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</si>
  <si>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</si>
  <si>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</si>
  <si>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</si>
  <si>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</si>
  <si>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</si>
  <si>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</si>
  <si>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</si>
  <si>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</si>
  <si>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</si>
  <si>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</si>
  <si>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</si>
  <si>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</si>
  <si>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</si>
  <si>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</si>
  <si>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</si>
  <si>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</si>
  <si>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</si>
  <si>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</si>
  <si>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</si>
  <si>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</si>
  <si>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</si>
  <si>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</si>
  <si>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</si>
  <si>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</si>
  <si>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</si>
  <si>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</si>
  <si>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</si>
  <si>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</si>
  <si>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</si>
  <si>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</si>
  <si>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</si>
  <si>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</si>
  <si>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</si>
  <si>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</si>
  <si>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</si>
  <si>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</si>
  <si>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</si>
  <si>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</si>
  <si>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</si>
  <si>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</si>
  <si>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</si>
  <si>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</si>
  <si>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</si>
  <si>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</si>
  <si>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</si>
  <si>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</si>
  <si>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</si>
  <si>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</si>
  <si>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</si>
  <si>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</si>
  <si>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</si>
  <si>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</si>
  <si>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</si>
  <si>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</si>
  <si>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</si>
  <si>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</si>
  <si>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</si>
  <si>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</si>
  <si>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</si>
  <si>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</si>
  <si>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</si>
  <si>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</si>
  <si>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</si>
  <si>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</si>
  <si>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</si>
  <si>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</si>
  <si>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</si>
  <si>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</si>
  <si>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</si>
  <si>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</si>
  <si>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</si>
  <si>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</si>
  <si>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</si>
  <si>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</si>
  <si>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</si>
  <si>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</si>
  <si>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</si>
  <si>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</si>
  <si>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</si>
  <si>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</si>
  <si>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</si>
  <si>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</si>
  <si>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</si>
  <si>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</si>
  <si>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</si>
  <si>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</si>
  <si>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</si>
  <si>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</si>
  <si>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</si>
  <si>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</si>
  <si>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</si>
  <si>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</si>
  <si>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</si>
  <si>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</si>
  <si>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</si>
  <si>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</si>
  <si>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</si>
  <si>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</si>
  <si>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</si>
  <si>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</si>
  <si>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</si>
  <si>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</si>
  <si>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</si>
  <si>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</si>
  <si>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</si>
  <si>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</si>
  <si>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</si>
  <si>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</si>
  <si>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</si>
  <si>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</si>
  <si>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</si>
  <si>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</si>
  <si>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</si>
  <si>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</si>
  <si>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</si>
  <si>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</si>
  <si>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</si>
  <si>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</si>
  <si>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</si>
  <si>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</si>
  <si>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</si>
  <si>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</si>
  <si>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</si>
  <si>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</si>
  <si>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</si>
  <si>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</si>
  <si>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</si>
  <si>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</si>
  <si>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</si>
  <si>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</si>
  <si>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</si>
  <si>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</si>
  <si>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</si>
  <si>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</si>
  <si>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</si>
  <si>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</si>
  <si>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</si>
  <si>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</si>
  <si>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</si>
  <si>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</si>
  <si>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</si>
  <si>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</si>
  <si>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</si>
  <si>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</si>
  <si>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</si>
  <si>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</si>
  <si>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</si>
  <si>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</si>
  <si>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</si>
  <si>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</si>
  <si>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</si>
  <si>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</si>
  <si>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</si>
  <si>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</si>
  <si>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</si>
  <si>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</si>
  <si>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</si>
  <si>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</si>
  <si>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</si>
  <si>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</si>
  <si>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</si>
  <si>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</si>
  <si>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</si>
  <si>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</si>
  <si>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</si>
  <si>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</si>
  <si>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</si>
  <si>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</si>
  <si>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</si>
  <si>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</si>
  <si>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</si>
  <si>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</si>
  <si>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</si>
  <si>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</si>
  <si>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</si>
  <si>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</si>
  <si>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</si>
  <si>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</si>
  <si>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</si>
  <si>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</si>
  <si>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</si>
  <si>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</si>
  <si>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</si>
  <si>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</si>
  <si>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</si>
  <si>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</si>
  <si>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</si>
  <si>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</si>
  <si>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</si>
  <si>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</si>
  <si>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</si>
  <si>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</si>
  <si>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</si>
  <si>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</si>
  <si>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</si>
  <si>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</si>
  <si>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</si>
  <si>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</si>
  <si>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</si>
  <si>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</si>
  <si>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</si>
  <si>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</si>
  <si>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</si>
  <si>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</si>
  <si>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</si>
  <si>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</si>
  <si>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</si>
  <si>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</si>
  <si>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</si>
  <si>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</si>
  <si>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</si>
  <si>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</si>
  <si>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</si>
  <si>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</si>
  <si>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</si>
  <si>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</si>
  <si>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</si>
  <si>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</si>
  <si>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</si>
  <si>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</si>
  <si>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</si>
  <si>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</si>
  <si>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</si>
  <si>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</si>
  <si>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</si>
  <si>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</si>
  <si>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</si>
  <si>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</si>
  <si>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</si>
  <si>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</si>
  <si>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</si>
  <si>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</si>
  <si>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</si>
  <si>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</si>
  <si>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</si>
  <si>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</si>
  <si>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</si>
  <si>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</si>
  <si>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</si>
  <si>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</si>
  <si>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</si>
  <si>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</si>
  <si>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</si>
  <si>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</si>
  <si>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</si>
  <si>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</si>
  <si>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</si>
  <si>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</si>
  <si>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</si>
  <si>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</si>
  <si>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</si>
  <si>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</si>
  <si>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</si>
  <si>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</si>
  <si>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</si>
  <si>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</si>
  <si>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</si>
  <si>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</si>
  <si>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</si>
  <si>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</si>
  <si>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</si>
  <si>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</si>
  <si>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</si>
  <si>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</si>
  <si>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</si>
  <si>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</si>
  <si>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</si>
  <si>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</si>
  <si>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</si>
  <si>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</si>
  <si>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</si>
  <si>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</si>
  <si>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</si>
  <si>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</si>
  <si>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</si>
  <si>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</si>
  <si>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</si>
  <si>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</si>
  <si>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</si>
  <si>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</si>
  <si>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</si>
  <si>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</si>
  <si>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</si>
  <si>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</si>
  <si>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</si>
  <si>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</si>
  <si>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</si>
  <si>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</si>
  <si>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</si>
  <si>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</si>
  <si>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</si>
  <si>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</si>
  <si>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</si>
  <si>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</si>
  <si>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</si>
  <si>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</si>
  <si>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</si>
  <si>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</si>
  <si>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</si>
  <si>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</si>
  <si>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</si>
  <si>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</si>
  <si>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</si>
  <si>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</si>
  <si>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</si>
  <si>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</si>
  <si>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</si>
  <si>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</si>
  <si>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</si>
  <si>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</si>
  <si>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</si>
  <si>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</si>
  <si>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</si>
  <si>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</si>
  <si>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</si>
  <si>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</si>
  <si>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</si>
  <si>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</si>
  <si>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</si>
  <si>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</si>
  <si>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</si>
  <si>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</si>
  <si>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</si>
  <si>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</si>
  <si>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</si>
  <si>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</si>
  <si>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</si>
  <si>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</si>
  <si>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</si>
  <si>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</si>
  <si>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</si>
  <si>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</si>
  <si>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</si>
  <si>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</si>
  <si>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</si>
  <si>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</si>
  <si>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</si>
  <si>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</si>
  <si>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</si>
  <si>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</si>
  <si>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</si>
  <si>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</si>
  <si>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</si>
  <si>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</si>
  <si>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</si>
  <si>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</si>
  <si>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</si>
  <si>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</si>
  <si>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</si>
  <si>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</si>
  <si>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</si>
  <si>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</si>
  <si>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</si>
  <si>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</si>
  <si>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</si>
  <si>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</si>
  <si>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</si>
  <si>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</si>
  <si>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</si>
  <si>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</si>
  <si>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</si>
  <si>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</si>
  <si>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</si>
  <si>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</si>
  <si>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</si>
  <si>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</si>
  <si>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</si>
  <si>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</si>
  <si>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</si>
  <si>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</si>
  <si>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</si>
  <si>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</si>
  <si>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</si>
  <si>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</si>
  <si>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</si>
  <si>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</si>
  <si>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</si>
  <si>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</si>
  <si>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</si>
  <si>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</si>
  <si>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</si>
  <si>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</si>
  <si>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</si>
  <si>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</si>
  <si>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</si>
  <si>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</si>
  <si>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</si>
  <si>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</si>
  <si>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</si>
  <si>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</si>
  <si>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</si>
  <si>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</si>
  <si>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</si>
  <si>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</si>
  <si>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</si>
  <si>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</si>
  <si>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</si>
  <si>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</si>
  <si>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</si>
  <si>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</si>
  <si>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</si>
  <si>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</si>
  <si>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</si>
  <si>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</si>
  <si>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</si>
  <si>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</si>
  <si>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</si>
  <si>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</si>
  <si>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</si>
  <si>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</si>
  <si>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</si>
  <si>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</si>
  <si>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</si>
  <si>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</si>
  <si>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</si>
  <si>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</si>
  <si>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</si>
  <si>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</si>
  <si>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</si>
  <si>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</si>
  <si>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</si>
  <si>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</si>
  <si>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</si>
  <si>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</si>
  <si>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</si>
  <si>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</si>
  <si>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</si>
  <si>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</si>
  <si>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</si>
  <si>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</si>
  <si>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</si>
  <si>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</si>
  <si>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</si>
  <si>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</si>
  <si>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</si>
  <si>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</si>
  <si>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</si>
  <si>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</si>
  <si>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</si>
  <si>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</si>
  <si>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</si>
  <si>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</si>
  <si>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</si>
  <si>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</si>
  <si>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</si>
  <si>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</si>
  <si>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</si>
  <si>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</si>
  <si>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</si>
  <si>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</si>
  <si>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</si>
  <si>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</si>
  <si>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</si>
  <si>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</si>
  <si>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</si>
  <si>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</si>
  <si>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</si>
  <si>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</si>
  <si>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</si>
  <si>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</si>
  <si>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</si>
  <si>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</si>
  <si>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</si>
  <si>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</si>
  <si>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</si>
  <si>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</si>
  <si>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</si>
  <si>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</si>
  <si>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</si>
  <si>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</si>
  <si>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</si>
  <si>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</si>
  <si>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</si>
  <si>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</si>
  <si>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</si>
  <si>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</si>
  <si>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</si>
  <si>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</si>
  <si>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</si>
  <si>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</si>
  <si>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</si>
  <si>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</si>
  <si>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</si>
  <si>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</si>
  <si>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</si>
  <si>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</si>
  <si>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</si>
  <si>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</si>
  <si>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</si>
  <si>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</si>
  <si>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</si>
  <si>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</si>
  <si>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</si>
  <si>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</si>
  <si>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</si>
  <si>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</si>
  <si>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</si>
  <si>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</si>
  <si>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</si>
  <si>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</si>
  <si>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</si>
  <si>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</si>
  <si>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</si>
  <si>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</si>
  <si>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</si>
  <si>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</si>
  <si>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</si>
  <si>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</si>
  <si>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</si>
  <si>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</si>
  <si>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</si>
  <si>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</si>
  <si>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</si>
  <si>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</si>
  <si>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</si>
  <si>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</si>
  <si>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</si>
  <si>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</si>
  <si>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</si>
  <si>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</si>
  <si>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</si>
  <si>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</si>
  <si>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</si>
  <si>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</si>
  <si>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</si>
  <si>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</si>
  <si>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</si>
  <si>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</si>
  <si>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</si>
  <si>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</si>
  <si>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</si>
  <si>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</si>
  <si>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</si>
  <si>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</si>
  <si>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</si>
  <si>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</si>
  <si>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</si>
  <si>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</si>
  <si>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</si>
  <si>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</si>
  <si>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</si>
  <si>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</si>
  <si>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</si>
  <si>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</si>
  <si>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</si>
  <si>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</si>
  <si>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</si>
  <si>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</si>
  <si>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</si>
  <si>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</si>
  <si>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</si>
  <si>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</si>
  <si>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</si>
  <si>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</si>
  <si>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</si>
  <si>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</si>
  <si>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</si>
  <si>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</si>
  <si>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</si>
  <si>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</si>
  <si>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</si>
  <si>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</si>
  <si>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</si>
  <si>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</si>
  <si>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</si>
  <si>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</si>
  <si>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</si>
  <si>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</si>
  <si>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</si>
  <si>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</si>
  <si>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</si>
  <si>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</si>
  <si>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</si>
  <si>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</si>
  <si>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</si>
  <si>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</si>
  <si>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</si>
  <si>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</si>
  <si>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</si>
  <si>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</si>
  <si>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</si>
  <si>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</si>
  <si>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</si>
  <si>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</si>
  <si>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</si>
  <si>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</si>
  <si>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</si>
  <si>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</si>
  <si>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</si>
  <si>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</si>
  <si>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</si>
  <si>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</si>
  <si>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</si>
  <si>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</si>
  <si>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</si>
  <si>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</si>
  <si>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</si>
  <si>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</si>
  <si>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</si>
  <si>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</si>
  <si>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</si>
  <si>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</si>
  <si>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</si>
  <si>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</si>
  <si>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</si>
  <si>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</si>
  <si>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</si>
  <si>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</si>
  <si>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</si>
  <si>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</si>
  <si>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</si>
  <si>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</si>
  <si>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</si>
  <si>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</si>
  <si>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</si>
  <si>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</si>
  <si>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</si>
  <si>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</si>
  <si>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</si>
  <si>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</si>
  <si>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</si>
  <si>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</si>
  <si>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</si>
  <si>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</si>
  <si>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</si>
  <si>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</si>
  <si>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</si>
  <si>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</si>
  <si>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</si>
  <si>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</si>
  <si>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</si>
  <si>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</si>
  <si>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</si>
  <si>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</si>
  <si>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</si>
  <si>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</si>
  <si>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</si>
  <si>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</si>
  <si>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</si>
  <si>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</si>
  <si>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</si>
  <si>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</si>
  <si>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</si>
  <si>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</si>
  <si>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</si>
  <si>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</si>
  <si>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</si>
  <si>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</si>
  <si>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</si>
  <si>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</si>
  <si>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</si>
  <si>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</si>
  <si>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</si>
  <si>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</si>
  <si>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</si>
  <si>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</si>
  <si>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</si>
  <si>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STEP</t>
  </si>
  <si>
    <t>ACTION</t>
  </si>
  <si>
    <t>REASON</t>
  </si>
  <si>
    <t>RESULT</t>
  </si>
  <si>
    <t>Changed data type</t>
  </si>
  <si>
    <t>I ensure each column has the correct format</t>
  </si>
  <si>
    <t>Completed</t>
  </si>
  <si>
    <t>Replaced null values in "CouponCode" with "No Coupon"</t>
  </si>
  <si>
    <t>The missing coupon values indicate no coupon was used</t>
  </si>
  <si>
    <t>I ensure each record is unique</t>
  </si>
  <si>
    <t>No duplicate found</t>
  </si>
  <si>
    <t>I Removed hidden space in text</t>
  </si>
  <si>
    <t>Remove hidden or non-printable characters</t>
  </si>
  <si>
    <t xml:space="preserve">Ensure all dates are valid </t>
  </si>
  <si>
    <t>No date format errors found</t>
  </si>
  <si>
    <t xml:space="preserve">Verified Data Format </t>
  </si>
  <si>
    <t xml:space="preserve">Cleaned Text Columns </t>
  </si>
  <si>
    <t>Trimmed Text Columns</t>
  </si>
  <si>
    <t>Removed Duplicate Records</t>
  </si>
  <si>
    <t>Column</t>
  </si>
  <si>
    <t>Count</t>
  </si>
  <si>
    <t xml:space="preserve">Mean </t>
  </si>
  <si>
    <t>Median</t>
  </si>
  <si>
    <t>Min</t>
  </si>
  <si>
    <t>Max</t>
  </si>
  <si>
    <t>Unit Price</t>
  </si>
  <si>
    <t>ItemsinCart</t>
  </si>
  <si>
    <t>Row Labels</t>
  </si>
  <si>
    <t>Grand Total</t>
  </si>
  <si>
    <t>Sum of TotalPrice</t>
  </si>
  <si>
    <t>1.which product generated the highest revenue?</t>
  </si>
  <si>
    <t>2. which payment method is used the most?</t>
  </si>
  <si>
    <t>Count of OrderID</t>
  </si>
  <si>
    <t>3. which order status occurs the most?</t>
  </si>
  <si>
    <t>4. which referral source generated the most revenue?</t>
  </si>
  <si>
    <t>Business Insight</t>
  </si>
  <si>
    <t>1. Which product generated the highest revenue?</t>
  </si>
  <si>
    <t>ii. Phone generated the lowest revenue (151,722.39)</t>
  </si>
  <si>
    <t>i.  Chair generated the highest revenue (195,620.11)</t>
  </si>
  <si>
    <t>2. Which payment method is used the most?</t>
  </si>
  <si>
    <t>i. Online was the most used payment method with 258 orders</t>
  </si>
  <si>
    <t>ii. Gift Card was the least used with 230 orders</t>
  </si>
  <si>
    <t>3. Which order status occurs the most?</t>
  </si>
  <si>
    <t>i. Cancelled orders occurred the most with 250 orders</t>
  </si>
  <si>
    <t>ii. Delivered orders occurred the least with 231 orders</t>
  </si>
  <si>
    <t>4. Which referral source generated the most revenue?</t>
  </si>
  <si>
    <t>i. Instagram generated the highest revenue (275,285.45)</t>
  </si>
  <si>
    <t>ii. Referral generated the lowest revenue (226,815.58)</t>
  </si>
  <si>
    <t>DESCRIPTIVE STATICTICS TABLE</t>
  </si>
  <si>
    <t>BOX &amp; WHISKER CHART</t>
  </si>
  <si>
    <t>FINAL EDA SUMMARY</t>
  </si>
  <si>
    <t>Project 2: Exploratory Data Analysis Summary</t>
  </si>
  <si>
    <t>Dataset Overview</t>
  </si>
  <si>
    <t>** Total Records: 1,200</t>
  </si>
  <si>
    <t>** Numeric Columns : Quantity, UnitPrice,ItemsinCart,TotalPrice</t>
  </si>
  <si>
    <t>Descriptive Statistics</t>
  </si>
  <si>
    <t>** Average Quantity :2.95</t>
  </si>
  <si>
    <t>** Average Unit Price :356.41</t>
  </si>
  <si>
    <t>** Average Total Price :1,053.97</t>
  </si>
  <si>
    <t>Median Total Price :823.62</t>
  </si>
  <si>
    <t>Key Findings</t>
  </si>
  <si>
    <t>2. Online was the most used payment method (258 orders).</t>
  </si>
  <si>
    <t>1. Chair generated the highest revenue (195,620.11).</t>
  </si>
  <si>
    <t>3. Cancelled orders occurred most frequently (250 orders).</t>
  </si>
  <si>
    <t>4. Instagram generated the highest revenue (275,285.45).</t>
  </si>
  <si>
    <t>5. The Box &amp; Whisker chart revealed several high-value outliers in the TotalPrice distribution.</t>
  </si>
  <si>
    <t>Conclusion</t>
  </si>
  <si>
    <t xml:space="preserve">The dataset shows consistent purchasing patterns with a few high-value transactions, </t>
  </si>
  <si>
    <t>Online payments were the preferred payment method, Chair was the top revenue-generating product, and Instagram was the leading referral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</si>
</sst>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Outlier Analysis of Total Price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Outlier Analysis of Total Price</a:t>
          </a:r>
        </a:p>
      </cx:txPr>
    </cx:title>
    <cx:plotArea>
      <cx:plotAreaRegion>
        <cx:series layoutId="boxWhisker" uniqueId="{AAD82F44-6A4F-4C81-8AAD-EB597513C55E}">
          <cx:tx>
            <cx:txData>
              <cx:f>_xlchart.v1.1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0</xdr:rowOff>
    </xdr:from>
    <xdr:to>
      <xdr:col>5</xdr:col>
      <xdr:colOff>488950</xdr:colOff>
      <xdr:row>60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4A62E2A-6144-433D-9A33-7FB41F448B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953500"/>
              <a:ext cx="4254500" cy="247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8.338075462962" createdVersion="8" refreshedVersion="8" minRefreshableVersion="3" recordCount="1200" xr:uid="{6920D43C-65C8-453E-A391-07C0793953A1}">
  <cacheSource type="worksheet">
    <worksheetSource name="Table4_2"/>
  </cacheSource>
  <cacheFields count="14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60481-6B56-45E2-8A44-FC363A6287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G21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E891B-19D5-4FCA-8E14-B5C8761DDF6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9F4E9-AA70-4CC4-8F7F-BC34E76F4D4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9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59A74-A469-4712-987F-F3E5EBC193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numFmtId="1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6D02DF-8220-4DA4-8EAC-BFA220C90DE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9880DC-3CC5-4B2F-93D7-9EE9954743F9}" name="Table4_2" displayName="Table4_2" ref="A1:N1201" tableType="queryTable" totalsRowShown="0">
  <autoFilter ref="A1:N1201" xr:uid="{109880DC-3CC5-4B2F-93D7-9EE9954743F9}"/>
  <tableColumns count="14">
    <tableColumn id="1" xr3:uid="{15E3BF29-62C5-41D1-9D0C-7F0EA6D64082}" uniqueName="1" name="OrderID" queryTableFieldId="1" dataDxfId="13"/>
    <tableColumn id="2" xr3:uid="{C02C8092-FA28-4B0D-9838-CF7499716BA4}" uniqueName="2" name="Date" queryTableFieldId="2" dataDxfId="12"/>
    <tableColumn id="3" xr3:uid="{EEBE94B6-CF66-4D2A-9112-8507193F9AE8}" uniqueName="3" name="CustomerID" queryTableFieldId="3" dataDxfId="11"/>
    <tableColumn id="4" xr3:uid="{9DD9CC80-C16F-43A5-BC15-8D8F5601D62E}" uniqueName="4" name="Product" queryTableFieldId="4" dataDxfId="10"/>
    <tableColumn id="5" xr3:uid="{DE6E1BB8-BA85-4069-BFF5-66BF5FAE0954}" uniqueName="5" name="Quantity" queryTableFieldId="5"/>
    <tableColumn id="6" xr3:uid="{D924D45B-04BB-4DCD-A5E4-618D8F3588C6}" uniqueName="6" name="UnitPrice" queryTableFieldId="6"/>
    <tableColumn id="7" xr3:uid="{48CCF9CF-0781-4D4F-BC01-01B1A20722E6}" uniqueName="7" name="ShippingAddress" queryTableFieldId="7" dataDxfId="9"/>
    <tableColumn id="8" xr3:uid="{6B909167-8EC8-4D13-9B8F-798ADBDACCBD}" uniqueName="8" name="PaymentMethod" queryTableFieldId="8" dataDxfId="8"/>
    <tableColumn id="9" xr3:uid="{ACFEFC88-3659-4DEE-97E8-1F2DE964021E}" uniqueName="9" name="OrderStatus" queryTableFieldId="9" dataDxfId="7"/>
    <tableColumn id="10" xr3:uid="{3A84313A-378D-49E5-B8C6-DFB5B26B3651}" uniqueName="10" name="TrackingNumber" queryTableFieldId="10" dataDxfId="6"/>
    <tableColumn id="11" xr3:uid="{CC76A062-8BDD-4919-932A-827062673BAA}" uniqueName="11" name="ItemsInCart" queryTableFieldId="11"/>
    <tableColumn id="12" xr3:uid="{67E91B16-3000-4439-B862-C55C617CDA96}" uniqueName="12" name="CouponCode" queryTableFieldId="12" dataDxfId="5"/>
    <tableColumn id="13" xr3:uid="{2284D5D1-D838-436E-BC71-2DC0F17B6AF3}" uniqueName="13" name="ReferralSource" queryTableFieldId="13" dataDxfId="4"/>
    <tableColumn id="14" xr3:uid="{B4A6E8FF-D823-47B3-9426-D27DC913EA20}" uniqueName="14" name="TotalPrice" queryTableFieldId="14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51C356-BBB0-4396-9640-CAFBAE0952CB}" name="Table6" displayName="Table6" ref="A1:D7" totalsRowShown="0">
  <autoFilter ref="A1:D7" xr:uid="{E551C356-BBB0-4396-9640-CAFBAE0952CB}"/>
  <tableColumns count="4">
    <tableColumn id="1" xr3:uid="{BC3EBF9E-BF2A-4366-8C33-321C7F7F2AAA}" name="STEP"/>
    <tableColumn id="2" xr3:uid="{417E354F-FAE7-40CE-93FE-B877556A2ED3}" name="ACTION"/>
    <tableColumn id="3" xr3:uid="{B87A9142-3C01-4920-B77A-6DB6FA8773AD}" name="REASON"/>
    <tableColumn id="4" xr3:uid="{8CC18070-EC25-44D1-82C6-FD4EF00B3BA4}" name="RESULT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2AD4B7-FAD0-43FA-8FF2-BC162BCD9D84}" name="Table4" displayName="Table4" ref="A1:N1201" totalsRowShown="0" headerRowDxfId="3" headerRowBorderDxfId="2" tableBorderDxfId="1">
  <autoFilter ref="A1:N1201" xr:uid="{BA2AD4B7-FAD0-43FA-8FF2-BC162BCD9D84}"/>
  <tableColumns count="14">
    <tableColumn id="1" xr3:uid="{B6C11C34-B5B6-405E-8431-2F0512768097}" name="OrderID"/>
    <tableColumn id="2" xr3:uid="{AD839FFA-B90D-4838-A8AB-830B46BDE72E}" name="Date" dataDxfId="0"/>
    <tableColumn id="3" xr3:uid="{7AAB8CAC-7207-4EEC-8140-337D7837B64D}" name="CustomerID"/>
    <tableColumn id="4" xr3:uid="{53BD13F5-89B6-455C-8642-3477AC613E38}" name="Product"/>
    <tableColumn id="5" xr3:uid="{B6580A80-1361-4F3E-82F3-16BBD0F18F25}" name="Quantity"/>
    <tableColumn id="6" xr3:uid="{98041C9B-FFE1-4998-9D10-030EF80D9903}" name="UnitPrice"/>
    <tableColumn id="7" xr3:uid="{CBEA523F-9516-491F-B948-FF05946B2AF5}" name="ShippingAddress"/>
    <tableColumn id="8" xr3:uid="{228C7D20-FEE1-4B42-B1B6-E948924AA507}" name="PaymentMethod"/>
    <tableColumn id="9" xr3:uid="{325D7811-0A3A-41D8-9E97-16CADA80D7EA}" name="OrderStatus"/>
    <tableColumn id="10" xr3:uid="{FDC80CA1-B50B-4777-AB70-207F46130F33}" name="TrackingNumber"/>
    <tableColumn id="11" xr3:uid="{721CC0E0-E3C3-4AF7-9864-606346E76353}" name="ItemsInCart"/>
    <tableColumn id="12" xr3:uid="{561853E6-8C8D-45AA-BDE0-599C38F80A79}" name="CouponCode"/>
    <tableColumn id="13" xr3:uid="{4DE5243D-8E4B-4C6B-8B26-60A54D86978E}" name="ReferralSource"/>
    <tableColumn id="14" xr3:uid="{611460CD-38CD-4ABD-84CE-A056288AC329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EEAB-05D0-47B8-B73E-2DC2BB30B604}">
  <dimension ref="A1:G46"/>
  <sheetViews>
    <sheetView topLeftCell="A46" workbookViewId="0">
      <selection activeCell="G48" sqref="G48"/>
    </sheetView>
  </sheetViews>
  <sheetFormatPr defaultRowHeight="14.5" x14ac:dyDescent="0.35"/>
  <cols>
    <col min="1" max="1" width="12.36328125" bestFit="1" customWidth="1"/>
    <col min="2" max="2" width="15.36328125" bestFit="1" customWidth="1"/>
    <col min="6" max="6" width="12.36328125" bestFit="1" customWidth="1"/>
    <col min="7" max="7" width="15.54296875" bestFit="1" customWidth="1"/>
  </cols>
  <sheetData>
    <row r="1" spans="1:7" ht="18.5" x14ac:dyDescent="0.45">
      <c r="C1" s="8" t="s">
        <v>4332</v>
      </c>
    </row>
    <row r="2" spans="1:7" x14ac:dyDescent="0.35">
      <c r="A2" t="s">
        <v>4314</v>
      </c>
      <c r="F2" t="s">
        <v>4315</v>
      </c>
    </row>
    <row r="3" spans="1:7" x14ac:dyDescent="0.35">
      <c r="A3" s="4" t="s">
        <v>4311</v>
      </c>
      <c r="B3" t="s">
        <v>4313</v>
      </c>
      <c r="F3" s="4" t="s">
        <v>4311</v>
      </c>
      <c r="G3" t="s">
        <v>4316</v>
      </c>
    </row>
    <row r="4" spans="1:7" x14ac:dyDescent="0.35">
      <c r="A4" s="5" t="s">
        <v>2406</v>
      </c>
      <c r="B4">
        <v>195620.11000000002</v>
      </c>
      <c r="F4" s="5" t="s">
        <v>3066</v>
      </c>
      <c r="G4">
        <v>258</v>
      </c>
    </row>
    <row r="5" spans="1:7" x14ac:dyDescent="0.35">
      <c r="A5" s="5" t="s">
        <v>2407</v>
      </c>
      <c r="B5">
        <v>195612.60999999996</v>
      </c>
      <c r="F5" s="5" t="s">
        <v>3068</v>
      </c>
      <c r="G5">
        <v>230</v>
      </c>
    </row>
    <row r="6" spans="1:7" x14ac:dyDescent="0.35">
      <c r="A6" s="5" t="s">
        <v>2408</v>
      </c>
      <c r="B6">
        <v>192126.55999999994</v>
      </c>
      <c r="F6" s="5" t="s">
        <v>3065</v>
      </c>
      <c r="G6">
        <v>232</v>
      </c>
    </row>
    <row r="7" spans="1:7" x14ac:dyDescent="0.35">
      <c r="A7" s="5" t="s">
        <v>2405</v>
      </c>
      <c r="B7">
        <v>186568.95000000007</v>
      </c>
      <c r="F7" s="5" t="s">
        <v>3067</v>
      </c>
      <c r="G7">
        <v>234</v>
      </c>
    </row>
    <row r="8" spans="1:7" x14ac:dyDescent="0.35">
      <c r="A8" s="5" t="s">
        <v>2403</v>
      </c>
      <c r="B8">
        <v>175651.40999999997</v>
      </c>
      <c r="F8" s="5" t="s">
        <v>3069</v>
      </c>
      <c r="G8">
        <v>246</v>
      </c>
    </row>
    <row r="9" spans="1:7" x14ac:dyDescent="0.35">
      <c r="A9" s="5" t="s">
        <v>2409</v>
      </c>
      <c r="B9">
        <v>167459.93</v>
      </c>
      <c r="F9" s="5" t="s">
        <v>4312</v>
      </c>
      <c r="G9">
        <v>1200</v>
      </c>
    </row>
    <row r="10" spans="1:7" x14ac:dyDescent="0.35">
      <c r="A10" s="5" t="s">
        <v>2404</v>
      </c>
      <c r="B10">
        <v>151722.39000000001</v>
      </c>
    </row>
    <row r="11" spans="1:7" x14ac:dyDescent="0.35">
      <c r="A11" s="5" t="s">
        <v>4312</v>
      </c>
      <c r="B11">
        <v>1264761.96</v>
      </c>
    </row>
    <row r="14" spans="1:7" x14ac:dyDescent="0.35">
      <c r="A14" s="5" t="s">
        <v>4317</v>
      </c>
      <c r="F14" t="s">
        <v>4318</v>
      </c>
    </row>
    <row r="15" spans="1:7" x14ac:dyDescent="0.35">
      <c r="A15" s="4" t="s">
        <v>4311</v>
      </c>
      <c r="B15" t="s">
        <v>4316</v>
      </c>
      <c r="F15" s="4" t="s">
        <v>4311</v>
      </c>
      <c r="G15" t="s">
        <v>4313</v>
      </c>
    </row>
    <row r="16" spans="1:7" x14ac:dyDescent="0.35">
      <c r="A16" s="5" t="s">
        <v>3071</v>
      </c>
      <c r="B16">
        <v>250</v>
      </c>
      <c r="F16" s="5" t="s">
        <v>4280</v>
      </c>
      <c r="G16">
        <v>261808.55000000002</v>
      </c>
    </row>
    <row r="17" spans="1:7" x14ac:dyDescent="0.35">
      <c r="A17" s="5" t="s">
        <v>3072</v>
      </c>
      <c r="B17">
        <v>247</v>
      </c>
      <c r="F17" s="5" t="s">
        <v>4281</v>
      </c>
      <c r="G17">
        <v>250410.9</v>
      </c>
    </row>
    <row r="18" spans="1:7" x14ac:dyDescent="0.35">
      <c r="A18" s="5" t="s">
        <v>3074</v>
      </c>
      <c r="B18">
        <v>237</v>
      </c>
      <c r="F18" s="5" t="s">
        <v>4282</v>
      </c>
      <c r="G18">
        <v>250441.47999999998</v>
      </c>
    </row>
    <row r="19" spans="1:7" x14ac:dyDescent="0.35">
      <c r="A19" s="5" t="s">
        <v>3070</v>
      </c>
      <c r="B19">
        <v>235</v>
      </c>
      <c r="F19" s="5" t="s">
        <v>4278</v>
      </c>
      <c r="G19">
        <v>275285.45000000007</v>
      </c>
    </row>
    <row r="20" spans="1:7" x14ac:dyDescent="0.35">
      <c r="A20" s="5" t="s">
        <v>3073</v>
      </c>
      <c r="B20">
        <v>231</v>
      </c>
      <c r="F20" s="5" t="s">
        <v>4279</v>
      </c>
      <c r="G20">
        <v>226815.5799999999</v>
      </c>
    </row>
    <row r="21" spans="1:7" x14ac:dyDescent="0.35">
      <c r="A21" s="5" t="s">
        <v>4312</v>
      </c>
      <c r="B21">
        <v>1200</v>
      </c>
      <c r="F21" s="5" t="s">
        <v>4312</v>
      </c>
      <c r="G21">
        <v>1264761.96</v>
      </c>
    </row>
    <row r="26" spans="1:7" ht="26" x14ac:dyDescent="0.6">
      <c r="A26" s="6" t="s">
        <v>4319</v>
      </c>
    </row>
    <row r="27" spans="1:7" ht="15.5" x14ac:dyDescent="0.35">
      <c r="A27" s="7" t="s">
        <v>4320</v>
      </c>
    </row>
    <row r="28" spans="1:7" x14ac:dyDescent="0.35">
      <c r="A28" t="s">
        <v>4322</v>
      </c>
    </row>
    <row r="29" spans="1:7" x14ac:dyDescent="0.35">
      <c r="A29" t="s">
        <v>4321</v>
      </c>
    </row>
    <row r="32" spans="1:7" ht="15.5" x14ac:dyDescent="0.35">
      <c r="A32" s="7" t="s">
        <v>4323</v>
      </c>
    </row>
    <row r="33" spans="1:2" x14ac:dyDescent="0.35">
      <c r="A33" t="s">
        <v>4324</v>
      </c>
    </row>
    <row r="34" spans="1:2" x14ac:dyDescent="0.35">
      <c r="A34" t="s">
        <v>4325</v>
      </c>
    </row>
    <row r="37" spans="1:2" ht="15.5" x14ac:dyDescent="0.35">
      <c r="A37" s="7" t="s">
        <v>4326</v>
      </c>
    </row>
    <row r="38" spans="1:2" x14ac:dyDescent="0.35">
      <c r="A38" t="s">
        <v>4327</v>
      </c>
    </row>
    <row r="39" spans="1:2" x14ac:dyDescent="0.35">
      <c r="A39" t="s">
        <v>4328</v>
      </c>
    </row>
    <row r="42" spans="1:2" ht="15.5" x14ac:dyDescent="0.35">
      <c r="A42" s="7" t="s">
        <v>4329</v>
      </c>
    </row>
    <row r="43" spans="1:2" x14ac:dyDescent="0.35">
      <c r="A43" t="s">
        <v>4330</v>
      </c>
    </row>
    <row r="44" spans="1:2" x14ac:dyDescent="0.35">
      <c r="A44" t="s">
        <v>4331</v>
      </c>
    </row>
    <row r="46" spans="1:2" ht="18.5" x14ac:dyDescent="0.45">
      <c r="B46" s="8" t="s">
        <v>4333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DC46-67E9-45F9-9CA6-48F6BE75820D}">
  <dimension ref="A1:N1201"/>
  <sheetViews>
    <sheetView zoomScale="90" zoomScaleNormal="90" workbookViewId="0">
      <selection activeCell="O20" sqref="O20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E7B6-CABB-4FAF-A116-CB86C42C40AB}">
  <dimension ref="A1:D7"/>
  <sheetViews>
    <sheetView workbookViewId="0">
      <selection activeCell="C12" sqref="C12"/>
    </sheetView>
  </sheetViews>
  <sheetFormatPr defaultRowHeight="14.5" x14ac:dyDescent="0.35"/>
  <cols>
    <col min="2" max="2" width="48.90625" bestFit="1" customWidth="1"/>
    <col min="3" max="3" width="48.36328125" bestFit="1" customWidth="1"/>
    <col min="4" max="4" width="24.81640625" bestFit="1" customWidth="1"/>
  </cols>
  <sheetData>
    <row r="1" spans="1:4" x14ac:dyDescent="0.35">
      <c r="A1" t="s">
        <v>4284</v>
      </c>
      <c r="B1" t="s">
        <v>4285</v>
      </c>
      <c r="C1" t="s">
        <v>4286</v>
      </c>
      <c r="D1" t="s">
        <v>4287</v>
      </c>
    </row>
    <row r="2" spans="1:4" x14ac:dyDescent="0.35">
      <c r="A2">
        <v>1</v>
      </c>
      <c r="B2" t="s">
        <v>4288</v>
      </c>
      <c r="C2" t="s">
        <v>4289</v>
      </c>
      <c r="D2" t="s">
        <v>4290</v>
      </c>
    </row>
    <row r="3" spans="1:4" x14ac:dyDescent="0.35">
      <c r="A3">
        <v>2</v>
      </c>
      <c r="B3" t="s">
        <v>4291</v>
      </c>
      <c r="C3" t="s">
        <v>4292</v>
      </c>
      <c r="D3" t="s">
        <v>4290</v>
      </c>
    </row>
    <row r="4" spans="1:4" x14ac:dyDescent="0.35">
      <c r="A4">
        <v>3</v>
      </c>
      <c r="B4" t="s">
        <v>4302</v>
      </c>
      <c r="C4" t="s">
        <v>4293</v>
      </c>
      <c r="D4" t="s">
        <v>4294</v>
      </c>
    </row>
    <row r="5" spans="1:4" x14ac:dyDescent="0.35">
      <c r="A5">
        <v>4</v>
      </c>
      <c r="B5" t="s">
        <v>4301</v>
      </c>
      <c r="C5" t="s">
        <v>4295</v>
      </c>
      <c r="D5" t="s">
        <v>4290</v>
      </c>
    </row>
    <row r="6" spans="1:4" x14ac:dyDescent="0.35">
      <c r="A6">
        <v>5</v>
      </c>
      <c r="B6" t="s">
        <v>4300</v>
      </c>
      <c r="C6" t="s">
        <v>4296</v>
      </c>
      <c r="D6" t="s">
        <v>4290</v>
      </c>
    </row>
    <row r="7" spans="1:4" x14ac:dyDescent="0.35">
      <c r="A7">
        <v>6</v>
      </c>
      <c r="B7" t="s">
        <v>4299</v>
      </c>
      <c r="C7" t="s">
        <v>4297</v>
      </c>
      <c r="D7" t="s">
        <v>4298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C2C3-38E9-4DA0-A745-FC62CEF389A2}">
  <dimension ref="A1:F31"/>
  <sheetViews>
    <sheetView workbookViewId="0"/>
  </sheetViews>
  <sheetFormatPr defaultRowHeight="14.5" x14ac:dyDescent="0.35"/>
  <sheetData>
    <row r="1" spans="1:6" x14ac:dyDescent="0.35">
      <c r="A1" t="s">
        <v>4303</v>
      </c>
      <c r="B1" t="s">
        <v>4304</v>
      </c>
      <c r="C1" t="s">
        <v>4305</v>
      </c>
      <c r="D1" t="s">
        <v>4306</v>
      </c>
      <c r="E1" t="s">
        <v>4307</v>
      </c>
      <c r="F1" t="s">
        <v>4308</v>
      </c>
    </row>
    <row r="2" spans="1:6" x14ac:dyDescent="0.35">
      <c r="A2" t="s">
        <v>4</v>
      </c>
      <c r="B2">
        <f>COUNT('Data Analytics_Cleaned'!E:E)</f>
        <v>1200</v>
      </c>
      <c r="C2">
        <f>AVERAGE('Data Analytics_Cleaned'!E:E)</f>
        <v>2.9458333333333333</v>
      </c>
      <c r="D2">
        <f>MEDIAN('Data Analytics_Cleaned'!E:E)</f>
        <v>3</v>
      </c>
      <c r="E2">
        <f>MIN('Data Analytics_Cleaned'!E:E)</f>
        <v>1</v>
      </c>
      <c r="F2">
        <f>MAX('Data Analytics_Cleaned'!E:E)</f>
        <v>5</v>
      </c>
    </row>
    <row r="3" spans="1:6" x14ac:dyDescent="0.35">
      <c r="A3" t="s">
        <v>4309</v>
      </c>
      <c r="B3">
        <f>COUNT('Data Analytics_Cleaned'!F:F)</f>
        <v>1200</v>
      </c>
      <c r="C3">
        <f>AVERAGE('Data Analytics_Cleaned'!F:F)</f>
        <v>356.41275000000007</v>
      </c>
      <c r="D3">
        <f>MEDIAN('Data Analytics_Cleaned'!F:F)</f>
        <v>364.21</v>
      </c>
      <c r="E3">
        <f>MIN('Data Analytics_Cleaned'!F:F)</f>
        <v>11.39</v>
      </c>
      <c r="F3">
        <f>MAX('Data Analytics_Cleaned'!F:F)</f>
        <v>699.93</v>
      </c>
    </row>
    <row r="4" spans="1:6" x14ac:dyDescent="0.35">
      <c r="A4" t="s">
        <v>4310</v>
      </c>
      <c r="B4">
        <f>COUNT('Data Analytics_Cleaned'!F:F)</f>
        <v>1200</v>
      </c>
      <c r="C4">
        <f>AVERAGE('Data Analytics_Cleaned'!K:K)</f>
        <v>5.4850000000000003</v>
      </c>
      <c r="D4">
        <f>MEDIAN('Data Analytics_Cleaned'!K:K)</f>
        <v>5</v>
      </c>
      <c r="E4">
        <f>MIN('Data Analytics_Cleaned'!K:K)</f>
        <v>1</v>
      </c>
      <c r="F4">
        <f>MAX('Data Analytics_Cleaned'!K:K)</f>
        <v>10</v>
      </c>
    </row>
    <row r="5" spans="1:6" x14ac:dyDescent="0.35">
      <c r="A5" t="s">
        <v>13</v>
      </c>
      <c r="B5">
        <f>COUNT('Data Analytics_Cleaned'!N:N)</f>
        <v>1200</v>
      </c>
      <c r="C5">
        <f>AVERAGE('Data Analytics_Cleaned'!N:N)</f>
        <v>1053.9683000000005</v>
      </c>
      <c r="D5">
        <f>MEDIAN('Data Analytics_Cleaned'!N:N)</f>
        <v>823.61500000000001</v>
      </c>
      <c r="E5">
        <f>MIN('Data Analytics_Cleaned'!N:N)</f>
        <v>11.39</v>
      </c>
      <c r="F5">
        <f>MAX('Data Analytics_Cleaned'!N:N)</f>
        <v>3456.4</v>
      </c>
    </row>
    <row r="7" spans="1:6" ht="18.5" x14ac:dyDescent="0.45">
      <c r="C7" s="8" t="s">
        <v>4334</v>
      </c>
    </row>
    <row r="8" spans="1:6" ht="15.5" x14ac:dyDescent="0.35">
      <c r="A8" s="7" t="s">
        <v>4335</v>
      </c>
    </row>
    <row r="9" spans="1:6" x14ac:dyDescent="0.35">
      <c r="A9" s="9" t="s">
        <v>4336</v>
      </c>
    </row>
    <row r="10" spans="1:6" x14ac:dyDescent="0.35">
      <c r="A10" t="s">
        <v>4337</v>
      </c>
    </row>
    <row r="11" spans="1:6" x14ac:dyDescent="0.35">
      <c r="A11" t="s">
        <v>4338</v>
      </c>
    </row>
    <row r="14" spans="1:6" x14ac:dyDescent="0.35">
      <c r="A14" s="9" t="s">
        <v>4339</v>
      </c>
    </row>
    <row r="15" spans="1:6" x14ac:dyDescent="0.35">
      <c r="A15" t="s">
        <v>4340</v>
      </c>
    </row>
    <row r="16" spans="1:6" x14ac:dyDescent="0.35">
      <c r="A16" t="s">
        <v>4341</v>
      </c>
    </row>
    <row r="17" spans="1:1" x14ac:dyDescent="0.35">
      <c r="A17" t="s">
        <v>4342</v>
      </c>
    </row>
    <row r="18" spans="1:1" x14ac:dyDescent="0.35">
      <c r="A18" t="s">
        <v>4343</v>
      </c>
    </row>
    <row r="21" spans="1:1" x14ac:dyDescent="0.35">
      <c r="A21" s="9" t="s">
        <v>4344</v>
      </c>
    </row>
    <row r="22" spans="1:1" x14ac:dyDescent="0.35">
      <c r="A22" t="s">
        <v>4346</v>
      </c>
    </row>
    <row r="23" spans="1:1" x14ac:dyDescent="0.35">
      <c r="A23" t="s">
        <v>4345</v>
      </c>
    </row>
    <row r="24" spans="1:1" x14ac:dyDescent="0.35">
      <c r="A24" t="s">
        <v>4347</v>
      </c>
    </row>
    <row r="25" spans="1:1" x14ac:dyDescent="0.35">
      <c r="A25" t="s">
        <v>4348</v>
      </c>
    </row>
    <row r="26" spans="1:1" x14ac:dyDescent="0.35">
      <c r="A26" t="s">
        <v>4349</v>
      </c>
    </row>
    <row r="29" spans="1:1" ht="15.5" x14ac:dyDescent="0.35">
      <c r="A29" s="7" t="s">
        <v>4350</v>
      </c>
    </row>
    <row r="30" spans="1:1" x14ac:dyDescent="0.35">
      <c r="A30" t="s">
        <v>4351</v>
      </c>
    </row>
    <row r="31" spans="1:1" x14ac:dyDescent="0.35">
      <c r="A31" t="s">
        <v>4352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6" sqref="D1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4FCC0-4B4A-481C-8F33-1A66CF6DD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Pivot_Product</vt:lpstr>
      <vt:lpstr>Data Analytics_Cleaned</vt:lpstr>
      <vt:lpstr>Change Log</vt:lpstr>
      <vt:lpstr>EDA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2026-07-11T21:34:01Z</dcterms:modified>
</cp:coreProperties>
</file>